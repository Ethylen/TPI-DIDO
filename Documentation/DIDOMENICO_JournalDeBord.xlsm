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33480" yWindow="465" windowWidth="28800" windowHeight="17535" activeTab="1"/>
  </bookViews>
  <sheets>
    <sheet name="Journal" sheetId="1" r:id="rId1"/>
    <sheet name="Totaux" sheetId="4" r:id="rId2"/>
    <sheet name="Paramètres" sheetId="2" r:id="rId3"/>
  </sheets>
  <definedNames>
    <definedName name="_xlnm.Print_Area" localSheetId="0">Journal!$A$1:$G$47</definedName>
  </definedName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5" i="1"/>
  <c r="B5" i="1"/>
  <c r="D6" i="1"/>
  <c r="B6" i="1"/>
  <c r="D7" i="1"/>
  <c r="B7" i="1"/>
  <c r="D8" i="1"/>
  <c r="B8" i="1"/>
  <c r="D9" i="1"/>
  <c r="B9" i="1"/>
  <c r="D10" i="1"/>
  <c r="B10" i="1"/>
  <c r="D11" i="1"/>
  <c r="B11" i="1"/>
  <c r="D12" i="1"/>
  <c r="B12" i="1"/>
  <c r="D13" i="1"/>
  <c r="B13" i="1"/>
  <c r="D14" i="1"/>
  <c r="B14" i="1"/>
  <c r="D15" i="1"/>
  <c r="B15" i="1"/>
  <c r="D16" i="1"/>
  <c r="B16" i="1"/>
  <c r="D17" i="1"/>
  <c r="B17" i="1"/>
  <c r="D18" i="1"/>
  <c r="B18" i="1"/>
  <c r="D19" i="1"/>
  <c r="B19" i="1"/>
  <c r="D20" i="1"/>
  <c r="B20" i="1"/>
  <c r="D21" i="1"/>
  <c r="B21" i="1"/>
  <c r="D22" i="1"/>
  <c r="B22" i="1"/>
  <c r="D23" i="1"/>
  <c r="B23" i="1"/>
  <c r="D25" i="1"/>
  <c r="D24" i="1"/>
  <c r="B24" i="1"/>
  <c r="B25" i="1"/>
  <c r="D26" i="1"/>
  <c r="B26" i="1"/>
  <c r="D27" i="1"/>
  <c r="B27" i="1"/>
  <c r="D28" i="1"/>
  <c r="B28" i="1"/>
  <c r="D29" i="1"/>
  <c r="B29" i="1"/>
  <c r="D30" i="1"/>
  <c r="B30" i="1"/>
  <c r="D31" i="1"/>
  <c r="B31" i="1"/>
  <c r="D32" i="1"/>
  <c r="B32" i="1"/>
  <c r="D33" i="1"/>
  <c r="B33" i="1"/>
  <c r="D34" i="1"/>
  <c r="B34" i="1"/>
  <c r="D35" i="1"/>
  <c r="B35" i="1"/>
  <c r="D36" i="1"/>
  <c r="B36" i="1"/>
  <c r="D37" i="1"/>
  <c r="B37" i="1"/>
  <c r="D38" i="1"/>
  <c r="B38" i="1"/>
  <c r="D39" i="1"/>
  <c r="B39" i="1"/>
  <c r="D40" i="1"/>
  <c r="B40" i="1"/>
  <c r="D41" i="1"/>
  <c r="B41" i="1"/>
  <c r="D42" i="1"/>
  <c r="B42" i="1"/>
  <c r="D43" i="1"/>
  <c r="B43" i="1"/>
  <c r="D44" i="1"/>
  <c r="B44" i="1"/>
  <c r="D45" i="1"/>
  <c r="B45" i="1"/>
  <c r="D46" i="1"/>
  <c r="B46" i="1"/>
  <c r="D47" i="1"/>
  <c r="B47" i="1"/>
</calcChain>
</file>

<file path=xl/sharedStrings.xml><?xml version="1.0" encoding="utf-8"?>
<sst xmlns="http://schemas.openxmlformats.org/spreadsheetml/2006/main" count="133" uniqueCount="78">
  <si>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</si>
  <si>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</si>
  <si>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</si>
  <si>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</si>
  <si>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</si>
  <si>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</si>
  <si>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</si>
  <si>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</si>
  <si>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</si>
  <si>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</si>
  <si>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</si>
  <si>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</si>
  <si>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</si>
  <si>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</si>
  <si>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</si>
  <si>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</si>
  <si>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</si>
  <si>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</si>
  <si>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</si>
  <si>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</si>
  <si>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</si>
  <si>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</si>
  <si>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</si>
  <si>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</si>
  <si>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</si>
  <si>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</si>
  <si>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</si>
  <si>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</si>
  <si>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</si>
  <si>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</si>
  <si>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</si>
  <si>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</si>
  <si>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</si>
  <si>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</si>
  <si>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</si>
  <si>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</si>
  <si>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</si>
  <si>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</si>
  <si>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</si>
  <si>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</si>
  <si>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</si>
  <si>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</si>
  <si>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</si>
  <si>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</si>
  <si>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</si>
  <si>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</si>
  <si>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</si>
  <si>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</si>
  <si>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</si>
  <si>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</si>
  <si>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</si>
  <si>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</si>
  <si>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</si>
  <si>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</si>
  <si>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</si>
  <si>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</si>
  <si>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</si>
  <si>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</si>
  <si>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</si>
  <si>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</si>
  <si>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</si>
  <si>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</si>
  <si>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</si>
  <si>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</si>
  <si>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</si>
  <si>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</si>
  <si>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</si>
  <si>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</si>
  <si>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</si>
  <si>
    <t>J'ai continué de relié mes pages pour que le MVC fonctionne mais pour la page "Explore", le javascript pour le pop-up des images ne semble plus fonctionner</t>
  </si>
  <si>
    <t>Je n'ai pas encore résolu ce problème et le met de côté pour l'instant</t>
  </si>
  <si>
    <t>Remplis quelques points de ma documentation</t>
  </si>
  <si>
    <t>Structure du site en cours de modélisation</t>
  </si>
  <si>
    <t>Continue la structure MVC</t>
  </si>
  <si>
    <t>Installation de visio  structure du site</t>
  </si>
  <si>
    <t>Finitiond de la structure MVC</t>
  </si>
  <si>
    <t>Connexion a la BD et affichage des données dans le profile</t>
  </si>
  <si>
    <t>Modification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</si>
</sst>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0.507653009263" createdVersion="4" refreshedVersion="6" minRefreshableVersion="3" recordCount="46">
  <cacheSource type="worksheet">
    <worksheetSource ref="A1:E47" sheet="Journal"/>
  </cacheSource>
  <cacheFields count="5">
    <cacheField name="Jour" numFmtId="164">
      <sharedItems containsSemiMixedTypes="0" containsNonDate="0" containsDate="1" containsString="0" minDate="2018-01-01T00:00:00" maxDate="2018-05-31T00:00:00" count="37">
        <d v="2018-05-30T00:00:00"/>
        <d v="2018-05-29T00:00:00"/>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2"/>
    </cacheField>
    <cacheField name="Temps [1/4h]" numFmtId="1">
      <sharedItems containsSemiMixedTypes="0" containsString="0" containsNumber="1" containsInteger="1" minValue="0" maxValue="16"/>
    </cacheField>
    <cacheField name="Temps [h]" numFmtId="2">
      <sharedItems containsSemiMixedTypes="0" containsString="0" containsNumber="1" minValue="0" maxValue="4"/>
    </cacheField>
    <cacheField name="Type" numFmtId="0">
      <sharedItems count="8">
        <s v="Documentation"/>
        <s v="Implémentation"/>
        <s v="Autre"/>
        <s v="Conception"/>
        <s v="Entretient"/>
        <s v="Analyse"/>
        <s v="Absence"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6">
  <r>
    <x v="0"/>
    <n v="22"/>
    <n v="1"/>
    <n v="0.25"/>
    <x v="0"/>
  </r>
  <r>
    <x v="0"/>
    <n v="22"/>
    <n v="8"/>
    <n v="2"/>
    <x v="1"/>
  </r>
  <r>
    <x v="0"/>
    <n v="22"/>
    <n v="6"/>
    <n v="1.5"/>
    <x v="1"/>
  </r>
  <r>
    <x v="1"/>
    <n v="22"/>
    <n v="2"/>
    <n v="0.5"/>
    <x v="2"/>
  </r>
  <r>
    <x v="1"/>
    <n v="22"/>
    <n v="13"/>
    <n v="3.25"/>
    <x v="1"/>
  </r>
  <r>
    <x v="2"/>
    <n v="21"/>
    <n v="2"/>
    <n v="0.5"/>
    <x v="0"/>
  </r>
  <r>
    <x v="2"/>
    <n v="21"/>
    <n v="4"/>
    <n v="1"/>
    <x v="1"/>
  </r>
  <r>
    <x v="2"/>
    <n v="21"/>
    <n v="9"/>
    <n v="2.25"/>
    <x v="1"/>
  </r>
  <r>
    <x v="2"/>
    <n v="21"/>
    <n v="6"/>
    <n v="1.5"/>
    <x v="3"/>
  </r>
  <r>
    <x v="3"/>
    <n v="21"/>
    <n v="6"/>
    <n v="1.5"/>
    <x v="3"/>
  </r>
  <r>
    <x v="3"/>
    <n v="21"/>
    <n v="12"/>
    <n v="3"/>
    <x v="3"/>
  </r>
  <r>
    <x v="3"/>
    <n v="21"/>
    <n v="9"/>
    <n v="2.25"/>
    <x v="0"/>
  </r>
  <r>
    <x v="4"/>
    <n v="21"/>
    <n v="2"/>
    <n v="0.5"/>
    <x v="0"/>
  </r>
  <r>
    <x v="4"/>
    <n v="21"/>
    <n v="4"/>
    <n v="1"/>
    <x v="4"/>
  </r>
  <r>
    <x v="4"/>
    <n v="21"/>
    <n v="6"/>
    <n v="1.5"/>
    <x v="3"/>
  </r>
  <r>
    <x v="4"/>
    <n v="21"/>
    <n v="10"/>
    <n v="2.5"/>
    <x v="3"/>
  </r>
  <r>
    <x v="4"/>
    <n v="21"/>
    <n v="3"/>
    <n v="0.75"/>
    <x v="2"/>
  </r>
  <r>
    <x v="4"/>
    <n v="21"/>
    <n v="3"/>
    <n v="0.75"/>
    <x v="4"/>
  </r>
  <r>
    <x v="5"/>
    <n v="21"/>
    <n v="3"/>
    <n v="0.75"/>
    <x v="3"/>
  </r>
  <r>
    <x v="5"/>
    <n v="21"/>
    <n v="12"/>
    <n v="3"/>
    <x v="0"/>
  </r>
  <r>
    <x v="6"/>
    <n v="20"/>
    <n v="6"/>
    <n v="1.5"/>
    <x v="3"/>
  </r>
  <r>
    <x v="6"/>
    <n v="20"/>
    <n v="2"/>
    <n v="0.5"/>
    <x v="5"/>
  </r>
  <r>
    <x v="6"/>
    <n v="20"/>
    <n v="1"/>
    <n v="0.25"/>
    <x v="3"/>
  </r>
  <r>
    <x v="6"/>
    <n v="20"/>
    <n v="12"/>
    <n v="3"/>
    <x v="3"/>
  </r>
  <r>
    <x v="7"/>
    <n v="20"/>
    <n v="16"/>
    <n v="4"/>
    <x v="3"/>
  </r>
  <r>
    <x v="7"/>
    <n v="20"/>
    <n v="6"/>
    <n v="1.5"/>
    <x v="5"/>
  </r>
  <r>
    <x v="7"/>
    <n v="20"/>
    <n v="6"/>
    <n v="1.5"/>
    <x v="3"/>
  </r>
  <r>
    <x v="8"/>
    <n v="20"/>
    <n v="2"/>
    <n v="0.5"/>
    <x v="0"/>
  </r>
  <r>
    <x v="8"/>
    <n v="20"/>
    <n v="2"/>
    <n v="0.5"/>
    <x v="0"/>
  </r>
  <r>
    <x v="8"/>
    <n v="20"/>
    <n v="4"/>
    <n v="1"/>
    <x v="4"/>
  </r>
  <r>
    <x v="8"/>
    <n v="20"/>
    <n v="12"/>
    <n v="3"/>
    <x v="3"/>
  </r>
  <r>
    <x v="8"/>
    <n v="20"/>
    <n v="3"/>
    <n v="0.75"/>
    <x v="0"/>
  </r>
  <r>
    <x v="9"/>
    <n v="20"/>
    <n v="8"/>
    <n v="2"/>
    <x v="3"/>
  </r>
  <r>
    <x v="9"/>
    <n v="20"/>
    <n v="3"/>
    <n v="0.75"/>
    <x v="2"/>
  </r>
  <r>
    <x v="9"/>
    <n v="20"/>
    <n v="4"/>
    <n v="1"/>
    <x v="0"/>
  </r>
  <r>
    <x v="10"/>
    <n v="19"/>
    <n v="2"/>
    <n v="0.5"/>
    <x v="2"/>
  </r>
  <r>
    <x v="10"/>
    <n v="19"/>
    <n v="2"/>
    <n v="0.5"/>
    <x v="0"/>
  </r>
  <r>
    <x v="10"/>
    <n v="19"/>
    <n v="2"/>
    <n v="0.5"/>
    <x v="4"/>
  </r>
  <r>
    <x v="10"/>
    <n v="19"/>
    <n v="10"/>
    <n v="2.5"/>
    <x v="0"/>
  </r>
  <r>
    <x v="10"/>
    <n v="19"/>
    <n v="9"/>
    <n v="2.25"/>
    <x v="5"/>
  </r>
  <r>
    <x v="10"/>
    <n v="19"/>
    <n v="0"/>
    <n v="0"/>
    <x v="5"/>
  </r>
  <r>
    <x v="11"/>
    <n v="19"/>
    <n v="7"/>
    <n v="1.75"/>
    <x v="5"/>
  </r>
  <r>
    <x v="11"/>
    <n v="19"/>
    <n v="2"/>
    <n v="0.5"/>
    <x v="2"/>
  </r>
  <r>
    <x v="11"/>
    <n v="19"/>
    <n v="4"/>
    <n v="1"/>
    <x v="2"/>
  </r>
  <r>
    <x v="11"/>
    <n v="19"/>
    <n v="4"/>
    <n v="1"/>
    <x v="4"/>
  </r>
  <r>
    <x v="11"/>
    <n v="19"/>
    <n v="0"/>
    <n v="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7" firstHeaderRow="1" firstDataRow="2" firstDataCol="1"/>
  <pivotFields count="5">
    <pivotField axis="axisRow" numFmtId="16" showAll="0">
      <items count="38">
        <item m="1" x="30"/>
        <item m="1" x="27"/>
        <item m="1" x="13"/>
        <item m="1" x="31"/>
        <item m="1" x="24"/>
        <item m="1" x="12"/>
        <item m="1" x="29"/>
        <item m="1" x="15"/>
        <item m="1" x="22"/>
        <item m="1" x="36"/>
        <item m="1" x="26"/>
        <item m="1" x="21"/>
        <item m="1" x="35"/>
        <item m="1" x="28"/>
        <item m="1" x="14"/>
        <item m="1" x="16"/>
        <item m="1" x="20"/>
        <item m="1" x="32"/>
        <item m="1" x="17"/>
        <item m="1" x="23"/>
        <item m="1" x="33"/>
        <item m="1" x="18"/>
        <item m="1" x="25"/>
        <item m="1" x="34"/>
        <item m="1" x="19"/>
        <item x="10"/>
        <item x="11"/>
        <item x="9"/>
        <item x="8"/>
        <item x="7"/>
        <item x="6"/>
        <item x="4"/>
        <item x="5"/>
        <item x="3"/>
        <item x="2"/>
        <item x="1"/>
        <item x="0"/>
        <item t="default"/>
      </items>
    </pivotField>
    <pivotField showAll="0"/>
    <pivotField numFmtId="1" showAll="0" defaultSubtotal="0"/>
    <pivotField dataField="1" showAll="0"/>
    <pivotField axis="axisCol" showAll="0">
      <items count="9">
        <item x="0"/>
        <item x="1"/>
        <item x="5"/>
        <item m="1" x="7"/>
        <item m="1" x="6"/>
        <item x="4"/>
        <item x="3"/>
        <item x="2"/>
        <item t="default"/>
      </items>
    </pivotField>
  </pivotFields>
  <rowFields count="1">
    <field x="0"/>
  </rowFields>
  <rowItems count="13">
    <i>
      <x v="25"/>
    </i>
    <i>
      <x v="26"/>
    </i>
    <i>
      <x v="27"/>
    </i>
    <i>
      <x v="28"/>
    </i>
    <i>
      <x v="29"/>
    </i>
    <i>
      <x v="30"/>
    </i>
    <i>
      <x v="31"/>
    </i>
    <i>
      <x v="32"/>
    </i>
    <i>
      <x v="33"/>
    </i>
    <i>
      <x v="34"/>
    </i>
    <i>
      <x v="35"/>
    </i>
    <i>
      <x v="36"/>
    </i>
    <i t="grand">
      <x/>
    </i>
  </rowItems>
  <colFields count="1">
    <field x="4"/>
  </colFields>
  <colItems count="7">
    <i>
      <x/>
    </i>
    <i>
      <x v="1"/>
    </i>
    <i>
      <x v="2"/>
    </i>
    <i>
      <x v="5"/>
    </i>
    <i>
      <x v="6"/>
    </i>
    <i>
      <x v="7"/>
    </i>
    <i t="grand">
      <x/>
    </i>
  </colItems>
  <dataFields count="1">
    <dataField name="Somme de Temps [h]" fld="3"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47"/>
  <sheetViews>
    <sheetView zoomScaleNormal="100" workbookViewId="0">
      <selection activeCell="F3" sqref="F3"/>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x14ac:dyDescent="0.25">
      <c r="A2" s="17">
        <v>43250</v>
      </c>
      <c r="B2" s="14">
        <f t="shared" ref="B2" si="0">WEEKNUM(A2)</f>
        <v>22</v>
      </c>
      <c r="C2" s="23">
        <v>1</v>
      </c>
      <c r="D2" s="20">
        <f t="shared" ref="D2" si="1">C2/4</f>
        <v>0.25</v>
      </c>
      <c r="E2" s="9" t="s">
        <v>9</v>
      </c>
      <c r="F2" s="10" t="s">
        <v>77</v>
      </c>
      <c r="G2" s="26"/>
      <c r="J2" s="11"/>
    </row>
    <row r="3" spans="1:10" x14ac:dyDescent="0.25">
      <c r="A3" s="17">
        <v>43250</v>
      </c>
      <c r="B3" s="14">
        <f t="shared" ref="B3" si="2">WEEKNUM(A3)</f>
        <v>22</v>
      </c>
      <c r="C3" s="23">
        <v>8</v>
      </c>
      <c r="D3" s="20">
        <f t="shared" ref="D3" si="3">C3/4</f>
        <v>2</v>
      </c>
      <c r="E3" s="9" t="s">
        <v>7</v>
      </c>
      <c r="F3" s="10" t="s">
        <v>76</v>
      </c>
      <c r="G3" s="26"/>
      <c r="J3" s="11"/>
    </row>
    <row r="4" spans="1:10" x14ac:dyDescent="0.25">
      <c r="A4" s="17">
        <v>43250</v>
      </c>
      <c r="B4" s="14">
        <f t="shared" ref="B4" si="4">WEEKNUM(A4)</f>
        <v>22</v>
      </c>
      <c r="C4" s="23">
        <v>6</v>
      </c>
      <c r="D4" s="20">
        <f t="shared" ref="D4" si="5">C4/4</f>
        <v>1.5</v>
      </c>
      <c r="E4" s="9" t="s">
        <v>7</v>
      </c>
      <c r="F4" s="10" t="s">
        <v>75</v>
      </c>
      <c r="G4" s="26"/>
      <c r="J4" s="11"/>
    </row>
    <row r="5" spans="1:10" x14ac:dyDescent="0.25">
      <c r="A5" s="17">
        <v>43249</v>
      </c>
      <c r="B5" s="14">
        <f t="shared" ref="B5" si="6">WEEKNUM(A5)</f>
        <v>22</v>
      </c>
      <c r="C5" s="23">
        <v>2</v>
      </c>
      <c r="D5" s="20">
        <f t="shared" ref="D5" si="7">C5/4</f>
        <v>0.5</v>
      </c>
      <c r="E5" s="9" t="s">
        <v>33</v>
      </c>
      <c r="F5" s="10" t="s">
        <v>74</v>
      </c>
      <c r="G5" s="26"/>
      <c r="J5" s="11"/>
    </row>
    <row r="6" spans="1:10" x14ac:dyDescent="0.25">
      <c r="A6" s="17">
        <v>43249</v>
      </c>
      <c r="B6" s="14">
        <f t="shared" ref="B6" si="8">WEEKNUM(A6)</f>
        <v>22</v>
      </c>
      <c r="C6" s="23">
        <v>13</v>
      </c>
      <c r="D6" s="20">
        <f t="shared" ref="D6" si="9">C6/4</f>
        <v>3.25</v>
      </c>
      <c r="E6" s="9" t="s">
        <v>7</v>
      </c>
      <c r="F6" s="10" t="s">
        <v>73</v>
      </c>
      <c r="G6" s="26"/>
      <c r="J6" s="11"/>
    </row>
    <row r="7" spans="1:10" x14ac:dyDescent="0.25">
      <c r="A7" s="17">
        <v>43245</v>
      </c>
      <c r="B7" s="14">
        <f t="shared" ref="B7" si="10">WEEKNUM(A7)</f>
        <v>21</v>
      </c>
      <c r="C7" s="23">
        <v>2</v>
      </c>
      <c r="D7" s="20">
        <f t="shared" ref="D7" si="11">C7/4</f>
        <v>0.5</v>
      </c>
      <c r="E7" s="9" t="s">
        <v>9</v>
      </c>
      <c r="F7" s="10" t="s">
        <v>71</v>
      </c>
      <c r="G7" s="26" t="s">
        <v>72</v>
      </c>
      <c r="J7" s="11"/>
    </row>
    <row r="8" spans="1:10" ht="30" x14ac:dyDescent="0.25">
      <c r="A8" s="17">
        <v>43245</v>
      </c>
      <c r="B8" s="14">
        <f t="shared" ref="B8" si="12">WEEKNUM(A8)</f>
        <v>21</v>
      </c>
      <c r="C8" s="23">
        <v>4</v>
      </c>
      <c r="D8" s="20">
        <f t="shared" ref="D8" si="13">C8/4</f>
        <v>1</v>
      </c>
      <c r="E8" s="9" t="s">
        <v>7</v>
      </c>
      <c r="F8" s="10" t="s">
        <v>69</v>
      </c>
      <c r="G8" s="26" t="s">
        <v>70</v>
      </c>
      <c r="J8" s="11"/>
    </row>
    <row r="9" spans="1:10" ht="45" x14ac:dyDescent="0.25">
      <c r="A9" s="17">
        <v>43245</v>
      </c>
      <c r="B9" s="14">
        <f t="shared" ref="B9" si="14">WEEKNUM(A9)</f>
        <v>21</v>
      </c>
      <c r="C9" s="23">
        <v>9</v>
      </c>
      <c r="D9" s="20">
        <f t="shared" ref="D9" si="15">C9/4</f>
        <v>2.25</v>
      </c>
      <c r="E9" s="9" t="s">
        <v>7</v>
      </c>
      <c r="F9" s="10" t="s">
        <v>68</v>
      </c>
      <c r="G9" s="26"/>
      <c r="J9" s="11"/>
    </row>
    <row r="10" spans="1:10" ht="30" x14ac:dyDescent="0.25">
      <c r="A10" s="17">
        <v>43245</v>
      </c>
      <c r="B10" s="14">
        <f t="shared" ref="B10" si="16">WEEKNUM(A10)</f>
        <v>21</v>
      </c>
      <c r="C10" s="23">
        <v>6</v>
      </c>
      <c r="D10" s="20">
        <f t="shared" ref="D10" si="17">C10/4</f>
        <v>1.5</v>
      </c>
      <c r="E10" s="9" t="s">
        <v>15</v>
      </c>
      <c r="F10" s="10" t="s">
        <v>67</v>
      </c>
      <c r="G10" s="26"/>
      <c r="J10" s="11"/>
    </row>
    <row r="11" spans="1:10" x14ac:dyDescent="0.25">
      <c r="A11" s="17">
        <v>43244</v>
      </c>
      <c r="B11" s="14">
        <f t="shared" ref="B11" si="18">WEEKNUM(A11)</f>
        <v>21</v>
      </c>
      <c r="C11" s="23">
        <v>6</v>
      </c>
      <c r="D11" s="20">
        <f t="shared" ref="D11" si="19">C11/4</f>
        <v>1.5</v>
      </c>
      <c r="E11" s="9" t="s">
        <v>15</v>
      </c>
      <c r="F11" s="10" t="s">
        <v>66</v>
      </c>
      <c r="G11" s="26"/>
      <c r="J11" s="11"/>
    </row>
    <row r="12" spans="1:10" ht="30" x14ac:dyDescent="0.25">
      <c r="A12" s="17">
        <v>43244</v>
      </c>
      <c r="B12" s="14">
        <f t="shared" ref="B12" si="20">WEEKNUM(A12)</f>
        <v>21</v>
      </c>
      <c r="C12" s="23">
        <v>12</v>
      </c>
      <c r="D12" s="20">
        <f t="shared" ref="D12" si="21">C12/4</f>
        <v>3</v>
      </c>
      <c r="E12" s="9" t="s">
        <v>15</v>
      </c>
      <c r="F12" s="10" t="s">
        <v>65</v>
      </c>
      <c r="G12" s="26"/>
      <c r="J12" s="11"/>
    </row>
    <row r="13" spans="1:10" ht="45" x14ac:dyDescent="0.25">
      <c r="A13" s="17">
        <v>43244</v>
      </c>
      <c r="B13" s="14">
        <f t="shared" ref="B13" si="22">WEEKNUM(A13)</f>
        <v>21</v>
      </c>
      <c r="C13" s="23">
        <v>9</v>
      </c>
      <c r="D13" s="20">
        <f t="shared" ref="D13" si="23">C13/4</f>
        <v>2.25</v>
      </c>
      <c r="E13" s="9" t="s">
        <v>9</v>
      </c>
      <c r="F13" s="10" t="s">
        <v>63</v>
      </c>
      <c r="G13" s="26" t="s">
        <v>64</v>
      </c>
      <c r="J13" s="11"/>
    </row>
    <row r="14" spans="1:10" x14ac:dyDescent="0.25">
      <c r="A14" s="17">
        <v>43243</v>
      </c>
      <c r="B14" s="14">
        <f t="shared" ref="B14" si="24">WEEKNUM(A14)</f>
        <v>21</v>
      </c>
      <c r="C14" s="23">
        <v>2</v>
      </c>
      <c r="D14" s="20">
        <f t="shared" ref="D14" si="25">C14/4</f>
        <v>0.5</v>
      </c>
      <c r="E14" s="9" t="s">
        <v>9</v>
      </c>
      <c r="F14" s="10" t="s">
        <v>62</v>
      </c>
      <c r="G14" s="26"/>
      <c r="J14" s="11"/>
    </row>
    <row r="15" spans="1:10" ht="30" x14ac:dyDescent="0.25">
      <c r="A15" s="17">
        <v>43243</v>
      </c>
      <c r="B15" s="14">
        <f t="shared" ref="B15" si="26">WEEKNUM(A15)</f>
        <v>21</v>
      </c>
      <c r="C15" s="23">
        <v>4</v>
      </c>
      <c r="D15" s="20">
        <f t="shared" ref="D15" si="27">C15/4</f>
        <v>1</v>
      </c>
      <c r="E15" s="9" t="s">
        <v>16</v>
      </c>
      <c r="F15" s="10" t="s">
        <v>60</v>
      </c>
      <c r="G15" s="26" t="s">
        <v>61</v>
      </c>
      <c r="J15" s="11"/>
    </row>
    <row r="16" spans="1:10" ht="30" x14ac:dyDescent="0.25">
      <c r="A16" s="17">
        <v>43243</v>
      </c>
      <c r="B16" s="14">
        <f t="shared" ref="B16" si="28">WEEKNUM(A16)</f>
        <v>21</v>
      </c>
      <c r="C16" s="23">
        <v>6</v>
      </c>
      <c r="D16" s="20">
        <f t="shared" ref="D16" si="29">C16/4</f>
        <v>1.5</v>
      </c>
      <c r="E16" s="9" t="s">
        <v>15</v>
      </c>
      <c r="F16" s="10" t="s">
        <v>58</v>
      </c>
      <c r="G16" s="26" t="s">
        <v>59</v>
      </c>
      <c r="J16" s="11"/>
    </row>
    <row r="17" spans="1:10" x14ac:dyDescent="0.25">
      <c r="A17" s="17">
        <v>43243</v>
      </c>
      <c r="B17" s="14">
        <f t="shared" ref="B17" si="30">WEEKNUM(A17)</f>
        <v>21</v>
      </c>
      <c r="C17" s="23">
        <v>10</v>
      </c>
      <c r="D17" s="20">
        <f t="shared" ref="D17" si="31">C17/4</f>
        <v>2.5</v>
      </c>
      <c r="E17" s="9" t="s">
        <v>15</v>
      </c>
      <c r="F17" s="10" t="s">
        <v>57</v>
      </c>
      <c r="G17" s="26"/>
      <c r="J17" s="11"/>
    </row>
    <row r="18" spans="1:10" x14ac:dyDescent="0.25">
      <c r="A18" s="17">
        <v>43243</v>
      </c>
      <c r="B18" s="14">
        <f t="shared" ref="B18" si="32">WEEKNUM(A18)</f>
        <v>21</v>
      </c>
      <c r="C18" s="23">
        <v>3</v>
      </c>
      <c r="D18" s="20">
        <f t="shared" ref="D18" si="33">C18/4</f>
        <v>0.75</v>
      </c>
      <c r="E18" s="9" t="s">
        <v>33</v>
      </c>
      <c r="F18" s="10" t="s">
        <v>55</v>
      </c>
      <c r="G18" s="26" t="s">
        <v>56</v>
      </c>
      <c r="J18" s="11"/>
    </row>
    <row r="19" spans="1:10" ht="60" x14ac:dyDescent="0.25">
      <c r="A19" s="17">
        <v>43243</v>
      </c>
      <c r="B19" s="14">
        <f t="shared" ref="B19" si="34">WEEKNUM(A19)</f>
        <v>21</v>
      </c>
      <c r="C19" s="23">
        <v>3</v>
      </c>
      <c r="D19" s="20">
        <f t="shared" ref="D19" si="35">C19/4</f>
        <v>0.75</v>
      </c>
      <c r="E19" s="9" t="s">
        <v>16</v>
      </c>
      <c r="F19" s="10" t="s">
        <v>53</v>
      </c>
      <c r="G19" s="26" t="s">
        <v>54</v>
      </c>
      <c r="J19" s="11"/>
    </row>
    <row r="20" spans="1:10" x14ac:dyDescent="0.25">
      <c r="A20" s="17">
        <v>43242</v>
      </c>
      <c r="B20" s="14">
        <f t="shared" ref="B20" si="36">WEEKNUM(A20)</f>
        <v>21</v>
      </c>
      <c r="C20" s="23">
        <v>3</v>
      </c>
      <c r="D20" s="20">
        <f t="shared" ref="D20" si="37">C20/4</f>
        <v>0.75</v>
      </c>
      <c r="E20" s="9" t="s">
        <v>15</v>
      </c>
      <c r="F20" s="10" t="s">
        <v>52</v>
      </c>
      <c r="G20" s="26"/>
      <c r="J20" s="11"/>
    </row>
    <row r="21" spans="1:10" ht="30" x14ac:dyDescent="0.25">
      <c r="A21" s="17">
        <v>43242</v>
      </c>
      <c r="B21" s="14">
        <f t="shared" ref="B21" si="38">WEEKNUM(A21)</f>
        <v>21</v>
      </c>
      <c r="C21" s="23">
        <v>12</v>
      </c>
      <c r="D21" s="20">
        <f t="shared" ref="D21" si="39">C21/4</f>
        <v>3</v>
      </c>
      <c r="E21" s="9" t="s">
        <v>9</v>
      </c>
      <c r="F21" s="10" t="s">
        <v>51</v>
      </c>
      <c r="G21" s="26"/>
      <c r="J21" s="11"/>
    </row>
    <row r="22" spans="1:10" x14ac:dyDescent="0.25">
      <c r="A22" s="17">
        <v>43238</v>
      </c>
      <c r="B22" s="14">
        <f t="shared" ref="B22" si="40">WEEKNUM(A22)</f>
        <v>20</v>
      </c>
      <c r="C22" s="23">
        <v>6</v>
      </c>
      <c r="D22" s="20">
        <f t="shared" ref="D22" si="41">C22/4</f>
        <v>1.5</v>
      </c>
      <c r="E22" s="9" t="s">
        <v>15</v>
      </c>
      <c r="F22" s="10" t="s">
        <v>49</v>
      </c>
      <c r="G22" s="26" t="s">
        <v>50</v>
      </c>
      <c r="J22" s="11"/>
    </row>
    <row r="23" spans="1:10" x14ac:dyDescent="0.25">
      <c r="A23" s="17">
        <v>43238</v>
      </c>
      <c r="B23" s="14">
        <f t="shared" ref="B23" si="42">WEEKNUM(A23)</f>
        <v>20</v>
      </c>
      <c r="C23" s="23">
        <v>2</v>
      </c>
      <c r="D23" s="20">
        <f t="shared" ref="D23" si="43">C23/4</f>
        <v>0.5</v>
      </c>
      <c r="E23" s="9" t="s">
        <v>6</v>
      </c>
      <c r="F23" s="10" t="s">
        <v>48</v>
      </c>
      <c r="G23" s="26"/>
      <c r="J23" s="11"/>
    </row>
    <row r="24" spans="1:10" x14ac:dyDescent="0.25">
      <c r="A24" s="17">
        <v>43238</v>
      </c>
      <c r="B24" s="14">
        <f t="shared" ref="B24" si="44">WEEKNUM(A24)</f>
        <v>20</v>
      </c>
      <c r="C24" s="23">
        <v>1</v>
      </c>
      <c r="D24" s="20">
        <f t="shared" ref="D24" si="45">C24/4</f>
        <v>0.25</v>
      </c>
      <c r="E24" s="9" t="s">
        <v>15</v>
      </c>
      <c r="F24" s="10" t="s">
        <v>47</v>
      </c>
      <c r="G24" s="26"/>
      <c r="J24" s="11"/>
    </row>
    <row r="25" spans="1:10" x14ac:dyDescent="0.25">
      <c r="A25" s="17">
        <v>43238</v>
      </c>
      <c r="B25" s="14">
        <f t="shared" ref="B25" si="46">WEEKNUM(A25)</f>
        <v>20</v>
      </c>
      <c r="C25" s="23">
        <v>12</v>
      </c>
      <c r="D25" s="20">
        <f>C25/4</f>
        <v>3</v>
      </c>
      <c r="E25" s="9" t="s">
        <v>15</v>
      </c>
      <c r="F25" s="10" t="s">
        <v>46</v>
      </c>
      <c r="G25" s="26"/>
      <c r="J25" s="11"/>
    </row>
    <row r="26" spans="1:10" x14ac:dyDescent="0.25">
      <c r="A26" s="17">
        <v>43237</v>
      </c>
      <c r="B26" s="14">
        <f t="shared" ref="B26" si="47">WEEKNUM(A26)</f>
        <v>20</v>
      </c>
      <c r="C26" s="23">
        <v>16</v>
      </c>
      <c r="D26" s="20">
        <f>C26/4</f>
        <v>4</v>
      </c>
      <c r="E26" s="9" t="s">
        <v>15</v>
      </c>
      <c r="F26" s="10" t="s">
        <v>46</v>
      </c>
      <c r="G26" s="26"/>
      <c r="J26" s="11"/>
    </row>
    <row r="27" spans="1:10" ht="30" x14ac:dyDescent="0.25">
      <c r="A27" s="17">
        <v>43237</v>
      </c>
      <c r="B27" s="14">
        <f t="shared" ref="B27" si="48">WEEKNUM(A27)</f>
        <v>20</v>
      </c>
      <c r="C27" s="23">
        <v>6</v>
      </c>
      <c r="D27" s="20">
        <f t="shared" ref="D27" si="49">C27/4</f>
        <v>1.5</v>
      </c>
      <c r="E27" s="9" t="s">
        <v>6</v>
      </c>
      <c r="F27" s="10" t="s">
        <v>44</v>
      </c>
      <c r="G27" s="26" t="s">
        <v>45</v>
      </c>
      <c r="J27" s="11"/>
    </row>
    <row r="28" spans="1:10" ht="30" x14ac:dyDescent="0.25">
      <c r="A28" s="17">
        <v>43237</v>
      </c>
      <c r="B28" s="14">
        <f t="shared" ref="B28" si="50">WEEKNUM(A28)</f>
        <v>20</v>
      </c>
      <c r="C28" s="23">
        <v>6</v>
      </c>
      <c r="D28" s="20">
        <f t="shared" ref="D28" si="51">C28/4</f>
        <v>1.5</v>
      </c>
      <c r="E28" s="9" t="s">
        <v>15</v>
      </c>
      <c r="F28" s="10" t="s">
        <v>43</v>
      </c>
      <c r="G28" s="26"/>
      <c r="J28" s="11"/>
    </row>
    <row r="29" spans="1:10" x14ac:dyDescent="0.25">
      <c r="A29" s="17">
        <v>43236</v>
      </c>
      <c r="B29" s="14">
        <f t="shared" ref="B29" si="52">WEEKNUM(A29)</f>
        <v>20</v>
      </c>
      <c r="C29" s="23">
        <v>2</v>
      </c>
      <c r="D29" s="20">
        <f t="shared" ref="D29" si="53">C29/4</f>
        <v>0.5</v>
      </c>
      <c r="E29" s="9" t="s">
        <v>9</v>
      </c>
      <c r="F29" s="10" t="s">
        <v>42</v>
      </c>
      <c r="G29" s="26"/>
      <c r="J29" s="11"/>
    </row>
    <row r="30" spans="1:10" x14ac:dyDescent="0.25">
      <c r="A30" s="17">
        <v>43236</v>
      </c>
      <c r="B30" s="14">
        <f t="shared" ref="B30" si="54">WEEKNUM(A30)</f>
        <v>20</v>
      </c>
      <c r="C30" s="23">
        <v>2</v>
      </c>
      <c r="D30" s="20">
        <f t="shared" ref="D30" si="55">C30/4</f>
        <v>0.5</v>
      </c>
      <c r="E30" s="9" t="s">
        <v>9</v>
      </c>
      <c r="F30" s="10" t="s">
        <v>41</v>
      </c>
      <c r="G30" s="26"/>
      <c r="J30" s="11"/>
    </row>
    <row r="31" spans="1:10" ht="45" x14ac:dyDescent="0.25">
      <c r="A31" s="17">
        <v>43236</v>
      </c>
      <c r="B31" s="14">
        <f t="shared" ref="B31" si="56">WEEKNUM(A31)</f>
        <v>20</v>
      </c>
      <c r="C31" s="23">
        <v>4</v>
      </c>
      <c r="D31" s="20">
        <f t="shared" ref="D31" si="57">C31/4</f>
        <v>1</v>
      </c>
      <c r="E31" s="9" t="s">
        <v>16</v>
      </c>
      <c r="F31" s="10" t="s">
        <v>40</v>
      </c>
      <c r="G31" s="26"/>
      <c r="J31" s="11"/>
    </row>
    <row r="32" spans="1:10" x14ac:dyDescent="0.25">
      <c r="A32" s="17">
        <v>43236</v>
      </c>
      <c r="B32" s="14">
        <f t="shared" ref="B32" si="58">WEEKNUM(A32)</f>
        <v>20</v>
      </c>
      <c r="C32" s="23">
        <v>12</v>
      </c>
      <c r="D32" s="20">
        <f t="shared" ref="D32" si="59">C32/4</f>
        <v>3</v>
      </c>
      <c r="E32" s="9" t="s">
        <v>15</v>
      </c>
      <c r="F32" s="10" t="s">
        <v>39</v>
      </c>
      <c r="G32" s="26"/>
      <c r="J32" s="11"/>
    </row>
    <row r="33" spans="1:10" x14ac:dyDescent="0.25">
      <c r="A33" s="17">
        <v>43236</v>
      </c>
      <c r="B33" s="14">
        <f t="shared" ref="B33" si="60">WEEKNUM(A33)</f>
        <v>20</v>
      </c>
      <c r="C33" s="23">
        <v>3</v>
      </c>
      <c r="D33" s="20">
        <f t="shared" ref="D33" si="61">C33/4</f>
        <v>0.75</v>
      </c>
      <c r="E33" s="9" t="s">
        <v>9</v>
      </c>
      <c r="F33" s="10" t="s">
        <v>36</v>
      </c>
      <c r="G33" s="26"/>
      <c r="J33" s="11"/>
    </row>
    <row r="34" spans="1:10" x14ac:dyDescent="0.25">
      <c r="A34" s="17">
        <v>43235</v>
      </c>
      <c r="B34" s="14">
        <f t="shared" ref="B34" si="62">WEEKNUM(A34)</f>
        <v>20</v>
      </c>
      <c r="C34" s="23">
        <v>8</v>
      </c>
      <c r="D34" s="20">
        <f t="shared" ref="D34" si="63">C34/4</f>
        <v>2</v>
      </c>
      <c r="E34" s="9" t="s">
        <v>15</v>
      </c>
      <c r="F34" s="10" t="s">
        <v>35</v>
      </c>
      <c r="G34" s="26" t="s">
        <v>38</v>
      </c>
      <c r="J34" s="11"/>
    </row>
    <row r="35" spans="1:10" x14ac:dyDescent="0.25">
      <c r="A35" s="17">
        <v>43235</v>
      </c>
      <c r="B35" s="14">
        <f t="shared" ref="B35" si="64">WEEKNUM(A35)</f>
        <v>20</v>
      </c>
      <c r="C35" s="23">
        <v>3</v>
      </c>
      <c r="D35" s="20">
        <f t="shared" ref="D35" si="65">C35/4</f>
        <v>0.75</v>
      </c>
      <c r="E35" s="9" t="s">
        <v>33</v>
      </c>
      <c r="F35" s="10" t="s">
        <v>31</v>
      </c>
      <c r="G35" s="26" t="s">
        <v>34</v>
      </c>
      <c r="J35" s="11"/>
    </row>
    <row r="36" spans="1:10" ht="30" x14ac:dyDescent="0.25">
      <c r="A36" s="17">
        <v>43235</v>
      </c>
      <c r="B36" s="14">
        <f t="shared" ref="B36" si="66">WEEKNUM(A36)</f>
        <v>20</v>
      </c>
      <c r="C36" s="23">
        <v>4</v>
      </c>
      <c r="D36" s="20">
        <f t="shared" ref="D36" si="67">C36/4</f>
        <v>1</v>
      </c>
      <c r="E36" s="9" t="s">
        <v>9</v>
      </c>
      <c r="F36" s="10" t="s">
        <v>32</v>
      </c>
      <c r="G36" s="26" t="s">
        <v>37</v>
      </c>
      <c r="J36" s="11"/>
    </row>
    <row r="37" spans="1:10" x14ac:dyDescent="0.25">
      <c r="A37" s="17">
        <v>43229</v>
      </c>
      <c r="B37" s="14">
        <f t="shared" ref="B37" si="68">WEEKNUM(A37)</f>
        <v>19</v>
      </c>
      <c r="C37" s="23">
        <v>2</v>
      </c>
      <c r="D37" s="20">
        <f t="shared" ref="D37" si="69">C37/4</f>
        <v>0.5</v>
      </c>
      <c r="E37" s="9" t="s">
        <v>33</v>
      </c>
      <c r="F37" s="10" t="s">
        <v>31</v>
      </c>
      <c r="G37" s="26"/>
      <c r="J37" s="11"/>
    </row>
    <row r="38" spans="1:10" x14ac:dyDescent="0.25">
      <c r="A38" s="17">
        <v>43229</v>
      </c>
      <c r="B38" s="14">
        <f t="shared" ref="B38" si="70">WEEKNUM(A38)</f>
        <v>19</v>
      </c>
      <c r="C38" s="23">
        <v>2</v>
      </c>
      <c r="D38" s="20">
        <f t="shared" ref="D38" si="71">C38/4</f>
        <v>0.5</v>
      </c>
      <c r="E38" s="9" t="s">
        <v>9</v>
      </c>
      <c r="F38" s="10" t="s">
        <v>30</v>
      </c>
      <c r="G38" s="26"/>
      <c r="J38" s="11"/>
    </row>
    <row r="39" spans="1:10" ht="30" x14ac:dyDescent="0.25">
      <c r="A39" s="17">
        <v>43229</v>
      </c>
      <c r="B39" s="14">
        <f t="shared" ref="B39" si="72">WEEKNUM(A39)</f>
        <v>19</v>
      </c>
      <c r="C39" s="23">
        <v>2</v>
      </c>
      <c r="D39" s="20">
        <f t="shared" ref="D39" si="73">C39/4</f>
        <v>0.5</v>
      </c>
      <c r="E39" s="9" t="s">
        <v>16</v>
      </c>
      <c r="F39" s="10" t="s">
        <v>28</v>
      </c>
      <c r="G39" s="26" t="s">
        <v>29</v>
      </c>
      <c r="J39" s="11"/>
    </row>
    <row r="40" spans="1:10" x14ac:dyDescent="0.25">
      <c r="A40" s="17">
        <v>43229</v>
      </c>
      <c r="B40" s="14">
        <f t="shared" ref="B40" si="74">WEEKNUM(A40)</f>
        <v>19</v>
      </c>
      <c r="C40" s="23">
        <v>10</v>
      </c>
      <c r="D40" s="20">
        <f t="shared" ref="D40" si="75">C40/4</f>
        <v>2.5</v>
      </c>
      <c r="E40" s="9" t="s">
        <v>9</v>
      </c>
      <c r="F40" s="10" t="s">
        <v>27</v>
      </c>
      <c r="G40" s="26"/>
      <c r="J40" s="11"/>
    </row>
    <row r="41" spans="1:10" x14ac:dyDescent="0.25">
      <c r="A41" s="17">
        <v>43229</v>
      </c>
      <c r="B41" s="14">
        <f t="shared" ref="B41" si="76">WEEKNUM(A41)</f>
        <v>19</v>
      </c>
      <c r="C41" s="23">
        <v>9</v>
      </c>
      <c r="D41" s="20">
        <f t="shared" ref="D41" si="77">C41/4</f>
        <v>2.25</v>
      </c>
      <c r="E41" s="9" t="s">
        <v>6</v>
      </c>
      <c r="F41" s="10" t="s">
        <v>25</v>
      </c>
      <c r="G41" s="26" t="s">
        <v>26</v>
      </c>
      <c r="J41" s="11"/>
    </row>
    <row r="42" spans="1:10" ht="30" x14ac:dyDescent="0.25">
      <c r="A42" s="17">
        <v>43229</v>
      </c>
      <c r="B42" s="14">
        <f t="shared" ref="B42" si="78">WEEKNUM(A42)</f>
        <v>19</v>
      </c>
      <c r="C42" s="23">
        <v>0</v>
      </c>
      <c r="D42" s="20">
        <f t="shared" ref="D42" si="79">C42/4</f>
        <v>0</v>
      </c>
      <c r="E42" s="9" t="s">
        <v>6</v>
      </c>
      <c r="F42" s="10" t="s">
        <v>23</v>
      </c>
      <c r="G42" s="26" t="s">
        <v>24</v>
      </c>
      <c r="J42" s="11"/>
    </row>
    <row r="43" spans="1:10" x14ac:dyDescent="0.25">
      <c r="A43" s="17">
        <v>43228</v>
      </c>
      <c r="B43" s="14">
        <f t="shared" ref="B43" si="80">WEEKNUM(A43)</f>
        <v>19</v>
      </c>
      <c r="C43" s="23">
        <v>7</v>
      </c>
      <c r="D43" s="20">
        <f t="shared" ref="D43" si="81">C43/4</f>
        <v>1.75</v>
      </c>
      <c r="E43" s="9" t="s">
        <v>6</v>
      </c>
      <c r="F43" s="10" t="s">
        <v>21</v>
      </c>
      <c r="G43" s="26" t="s">
        <v>22</v>
      </c>
      <c r="J43" s="11"/>
    </row>
    <row r="44" spans="1:10" x14ac:dyDescent="0.25">
      <c r="A44" s="17">
        <v>43228</v>
      </c>
      <c r="B44" s="14">
        <f t="shared" ref="B44" si="82">WEEKNUM(A44)</f>
        <v>19</v>
      </c>
      <c r="C44" s="23">
        <v>2</v>
      </c>
      <c r="D44" s="20">
        <f t="shared" ref="D44" si="83">C44/4</f>
        <v>0.5</v>
      </c>
      <c r="E44" s="9" t="s">
        <v>33</v>
      </c>
      <c r="F44" s="10" t="s">
        <v>20</v>
      </c>
      <c r="G44" s="26"/>
      <c r="J44" s="11"/>
    </row>
    <row r="45" spans="1:10" x14ac:dyDescent="0.25">
      <c r="A45" s="17">
        <v>43228</v>
      </c>
      <c r="B45" s="14">
        <f t="shared" ref="B45" si="84">WEEKNUM(A45)</f>
        <v>19</v>
      </c>
      <c r="C45" s="23">
        <v>4</v>
      </c>
      <c r="D45" s="20">
        <f t="shared" ref="D45" si="85">C45/4</f>
        <v>1</v>
      </c>
      <c r="E45" s="9" t="s">
        <v>33</v>
      </c>
      <c r="F45" s="10" t="s">
        <v>19</v>
      </c>
      <c r="G45" s="26"/>
      <c r="J45" s="11"/>
    </row>
    <row r="46" spans="1:10" ht="30" x14ac:dyDescent="0.25">
      <c r="A46" s="17">
        <v>43228</v>
      </c>
      <c r="B46" s="14">
        <f t="shared" ref="B46" si="86">WEEKNUM(A46)</f>
        <v>19</v>
      </c>
      <c r="C46" s="23">
        <v>4</v>
      </c>
      <c r="D46" s="20">
        <f t="shared" ref="D46" si="87">C46/4</f>
        <v>1</v>
      </c>
      <c r="E46" s="9" t="s">
        <v>16</v>
      </c>
      <c r="F46" s="10" t="s">
        <v>18</v>
      </c>
      <c r="G46" s="26"/>
      <c r="J46" s="11"/>
    </row>
    <row r="47" spans="1:10" x14ac:dyDescent="0.25">
      <c r="A47" s="17">
        <v>43228</v>
      </c>
      <c r="B47" s="14">
        <f t="shared" ref="B47" si="88">WEEKNUM(A47)</f>
        <v>19</v>
      </c>
      <c r="C47" s="23">
        <v>0</v>
      </c>
      <c r="D47" s="20">
        <f t="shared" ref="D47" si="89">C47/4</f>
        <v>0</v>
      </c>
      <c r="E47" s="9" t="s">
        <v>33</v>
      </c>
      <c r="F47" s="10" t="s">
        <v>17</v>
      </c>
      <c r="G47" s="26"/>
      <c r="J47" s="11"/>
    </row>
  </sheetData>
  <sheetProtection selectLockedCells="1"/>
  <sortState ref="A2:G35">
    <sortCondition descending="1" ref="A2:A35"/>
  </sortState>
  <printOptions horizontalCentered="1"/>
  <pageMargins left="0.70866141732283472" right="0.70866141732283472" top="0.74803149606299213" bottom="0.74803149606299213" header="0.31496062992125984" footer="0.31496062992125984"/>
  <pageSetup paperSize="9" scale="55" fitToHeight="0"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7"/>
  <sheetViews>
    <sheetView tabSelected="1" zoomScaleNormal="100" workbookViewId="0">
      <selection activeCell="B23" sqref="B2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0" bestFit="1" customWidth="1"/>
    <col min="6" max="6" width="11.140625" bestFit="1" customWidth="1"/>
    <col min="7" max="7" width="6"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3" t="s">
        <v>13</v>
      </c>
    </row>
    <row r="4" spans="1:8" x14ac:dyDescent="0.25">
      <c r="B4" t="s">
        <v>9</v>
      </c>
      <c r="C4" t="s">
        <v>7</v>
      </c>
      <c r="D4" t="s">
        <v>6</v>
      </c>
      <c r="E4" t="s">
        <v>16</v>
      </c>
      <c r="F4" t="s">
        <v>15</v>
      </c>
      <c r="G4" t="s">
        <v>33</v>
      </c>
      <c r="H4" t="s">
        <v>11</v>
      </c>
    </row>
    <row r="5" spans="1:8" x14ac:dyDescent="0.25">
      <c r="A5" s="4">
        <v>43229</v>
      </c>
      <c r="B5" s="25">
        <v>3</v>
      </c>
      <c r="C5" s="25"/>
      <c r="D5" s="25">
        <v>2.25</v>
      </c>
      <c r="E5" s="25">
        <v>0.5</v>
      </c>
      <c r="F5" s="25"/>
      <c r="G5" s="25">
        <v>0.5</v>
      </c>
      <c r="H5" s="25">
        <v>6.25</v>
      </c>
    </row>
    <row r="6" spans="1:8" x14ac:dyDescent="0.25">
      <c r="A6" s="4">
        <v>43228</v>
      </c>
      <c r="B6" s="25"/>
      <c r="C6" s="25"/>
      <c r="D6" s="25">
        <v>1.75</v>
      </c>
      <c r="E6" s="25">
        <v>1</v>
      </c>
      <c r="F6" s="25"/>
      <c r="G6" s="25">
        <v>1.5</v>
      </c>
      <c r="H6" s="25">
        <v>4.25</v>
      </c>
    </row>
    <row r="7" spans="1:8" x14ac:dyDescent="0.25">
      <c r="A7" s="4">
        <v>43235</v>
      </c>
      <c r="B7" s="25">
        <v>1</v>
      </c>
      <c r="C7" s="25"/>
      <c r="D7" s="25"/>
      <c r="E7" s="25"/>
      <c r="F7" s="25">
        <v>2</v>
      </c>
      <c r="G7" s="25">
        <v>0.75</v>
      </c>
      <c r="H7" s="25">
        <v>3.75</v>
      </c>
    </row>
    <row r="8" spans="1:8" x14ac:dyDescent="0.25">
      <c r="A8" s="4">
        <v>43236</v>
      </c>
      <c r="B8" s="25">
        <v>1.75</v>
      </c>
      <c r="C8" s="25"/>
      <c r="D8" s="25"/>
      <c r="E8" s="25">
        <v>1</v>
      </c>
      <c r="F8" s="25">
        <v>3</v>
      </c>
      <c r="G8" s="25"/>
      <c r="H8" s="25">
        <v>5.75</v>
      </c>
    </row>
    <row r="9" spans="1:8" x14ac:dyDescent="0.25">
      <c r="A9" s="4">
        <v>43237</v>
      </c>
      <c r="B9" s="25"/>
      <c r="C9" s="25"/>
      <c r="D9" s="25">
        <v>1.5</v>
      </c>
      <c r="E9" s="25"/>
      <c r="F9" s="25">
        <v>5.5</v>
      </c>
      <c r="G9" s="25"/>
      <c r="H9" s="25">
        <v>7</v>
      </c>
    </row>
    <row r="10" spans="1:8" x14ac:dyDescent="0.25">
      <c r="A10" s="4">
        <v>43238</v>
      </c>
      <c r="B10" s="25"/>
      <c r="C10" s="25"/>
      <c r="D10" s="25">
        <v>0.5</v>
      </c>
      <c r="E10" s="25"/>
      <c r="F10" s="25">
        <v>4.75</v>
      </c>
      <c r="G10" s="25"/>
      <c r="H10" s="25">
        <v>5.25</v>
      </c>
    </row>
    <row r="11" spans="1:8" x14ac:dyDescent="0.25">
      <c r="A11" s="4">
        <v>43243</v>
      </c>
      <c r="B11" s="25">
        <v>0.5</v>
      </c>
      <c r="C11" s="25"/>
      <c r="D11" s="25"/>
      <c r="E11" s="25">
        <v>1.75</v>
      </c>
      <c r="F11" s="25">
        <v>4</v>
      </c>
      <c r="G11" s="25">
        <v>0.75</v>
      </c>
      <c r="H11" s="25">
        <v>7</v>
      </c>
    </row>
    <row r="12" spans="1:8" x14ac:dyDescent="0.25">
      <c r="A12" s="4">
        <v>43242</v>
      </c>
      <c r="B12" s="25">
        <v>3</v>
      </c>
      <c r="C12" s="25"/>
      <c r="D12" s="25"/>
      <c r="E12" s="25"/>
      <c r="F12" s="25">
        <v>0.75</v>
      </c>
      <c r="G12" s="25"/>
      <c r="H12" s="25">
        <v>3.75</v>
      </c>
    </row>
    <row r="13" spans="1:8" x14ac:dyDescent="0.25">
      <c r="A13" s="4">
        <v>43244</v>
      </c>
      <c r="B13" s="25">
        <v>2.25</v>
      </c>
      <c r="C13" s="25"/>
      <c r="D13" s="25"/>
      <c r="E13" s="25"/>
      <c r="F13" s="25">
        <v>4.5</v>
      </c>
      <c r="G13" s="25"/>
      <c r="H13" s="25">
        <v>6.75</v>
      </c>
    </row>
    <row r="14" spans="1:8" x14ac:dyDescent="0.25">
      <c r="A14" s="4">
        <v>43245</v>
      </c>
      <c r="B14" s="25">
        <v>0.5</v>
      </c>
      <c r="C14" s="25">
        <v>3.25</v>
      </c>
      <c r="D14" s="25"/>
      <c r="E14" s="25"/>
      <c r="F14" s="25">
        <v>1.5</v>
      </c>
      <c r="G14" s="25"/>
      <c r="H14" s="25">
        <v>5.25</v>
      </c>
    </row>
    <row r="15" spans="1:8" x14ac:dyDescent="0.25">
      <c r="A15" s="4">
        <v>43249</v>
      </c>
      <c r="B15" s="25"/>
      <c r="C15" s="25">
        <v>3.25</v>
      </c>
      <c r="D15" s="25"/>
      <c r="E15" s="25"/>
      <c r="F15" s="25"/>
      <c r="G15" s="25">
        <v>0.5</v>
      </c>
      <c r="H15" s="25">
        <v>3.75</v>
      </c>
    </row>
    <row r="16" spans="1:8" x14ac:dyDescent="0.25">
      <c r="A16" s="4">
        <v>43250</v>
      </c>
      <c r="B16" s="25">
        <v>0.25</v>
      </c>
      <c r="C16" s="25">
        <v>3.5</v>
      </c>
      <c r="D16" s="25"/>
      <c r="E16" s="25"/>
      <c r="F16" s="25"/>
      <c r="G16" s="25"/>
      <c r="H16" s="25">
        <v>3.75</v>
      </c>
    </row>
    <row r="17" spans="1:8" x14ac:dyDescent="0.25">
      <c r="A17" s="4" t="s">
        <v>11</v>
      </c>
      <c r="B17" s="25">
        <v>12.25</v>
      </c>
      <c r="C17" s="25">
        <v>10</v>
      </c>
      <c r="D17" s="25">
        <v>6</v>
      </c>
      <c r="E17" s="25">
        <v>4.25</v>
      </c>
      <c r="F17" s="25">
        <v>26</v>
      </c>
      <c r="G17" s="25">
        <v>4</v>
      </c>
      <c r="H17" s="25">
        <v>62.5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2018-05-30T10:12:03Z</dcterms:modified>
</cp:coreProperties>
</file>