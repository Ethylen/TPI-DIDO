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16740" yWindow="465" windowWidth="28800" windowHeight="17535" activeTab="1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8" i="1"/>
  <c r="B8" i="1"/>
  <c r="D9" i="1"/>
  <c r="B9" i="1"/>
  <c r="D10" i="1"/>
  <c r="B10" i="1"/>
  <c r="D11" i="1"/>
  <c r="B11" i="1"/>
  <c r="D12" i="1"/>
  <c r="B12" i="1"/>
  <c r="D13" i="1"/>
  <c r="B13" i="1"/>
  <c r="D14" i="1"/>
  <c r="B14" i="1"/>
  <c r="D15" i="1"/>
  <c r="B15" i="1"/>
</calcChain>
</file>

<file path=xl/sharedStrings.xml><?xml version="1.0" encoding="utf-8"?>
<sst xmlns="http://schemas.openxmlformats.org/spreadsheetml/2006/main" count="58" uniqueCount="37">
  <si>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</si>
  <si>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</si>
  <si>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</si>
  <si>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</si>
  <si>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</si>
  <si>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</si>
  <si>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</si>
  <si>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</si>
  <si>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</si>
  <si>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</si>
  <si>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</si>
  <si>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</si>
  <si>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</si>
  <si>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</si>
  <si>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</si>
  <si>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</si>
  <si>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</si>
  <si>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</si>
  <si>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</si>
  <si>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</si>
  <si>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</si>
  <si>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</si>
  <si>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</si>
  <si>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</si>
  <si>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</si>
  <si>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</si>
  <si>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</si>
  <si>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</si>
  <si>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</si>
  <si>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</si>
  <si>
    <t xml:space="preserve">Correction de la documentation &amp; des dates du planning ainsi que des ratios </t>
  </si>
  <si>
    <t>Recherche de template pour la conception des maquettes</t>
  </si>
  <si>
    <t>Quelques problèmes avec les macros de du JB</t>
  </si>
  <si>
    <t>Mise à jour du planning comme re-demandé par l'Expert 1, modification de la documentation</t>
  </si>
  <si>
    <t>Autre</t>
  </si>
  <si>
    <t>Pas beaucoup de templates gratuits…</t>
  </si>
  <si>
    <t>Création des maquettes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</si>
</sst>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35.652453125003" createdVersion="4" refreshedVersion="6" minRefreshableVersion="3" recordCount="14">
  <cacheSource type="worksheet">
    <worksheetSource ref="A1:E15" sheet="Journal"/>
  </cacheSource>
  <cacheFields count="5">
    <cacheField name="Jour" numFmtId="164">
      <sharedItems containsSemiMixedTypes="0" containsNonDate="0" containsDate="1" containsString="0" minDate="2018-01-01T00:00:00" maxDate="2018-05-16T00:00:00" count="28">
        <d v="2018-05-15T00:00:00"/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20"/>
    </cacheField>
    <cacheField name="Temps [1/4h]" numFmtId="1">
      <sharedItems containsSemiMixedTypes="0" containsString="0" containsNumber="1" containsInteger="1" minValue="0" maxValue="10"/>
    </cacheField>
    <cacheField name="Temps [h]" numFmtId="2">
      <sharedItems containsSemiMixedTypes="0" containsString="0" containsNumber="1" minValue="0" maxValue="2.5"/>
    </cacheField>
    <cacheField name="Type" numFmtId="0">
      <sharedItems count="8">
        <s v="Conception"/>
        <s v="Autre"/>
        <s v="Documentation"/>
        <s v="Entretient"/>
        <s v="Analyse"/>
        <s v="Absence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n v="20"/>
    <n v="9"/>
    <n v="2.25"/>
    <x v="0"/>
  </r>
  <r>
    <x v="0"/>
    <n v="20"/>
    <n v="3"/>
    <n v="0.75"/>
    <x v="1"/>
  </r>
  <r>
    <x v="0"/>
    <n v="20"/>
    <n v="3"/>
    <n v="0.75"/>
    <x v="2"/>
  </r>
  <r>
    <x v="1"/>
    <n v="19"/>
    <n v="2"/>
    <n v="0.5"/>
    <x v="1"/>
  </r>
  <r>
    <x v="1"/>
    <n v="19"/>
    <n v="1"/>
    <n v="0.25"/>
    <x v="2"/>
  </r>
  <r>
    <x v="1"/>
    <n v="19"/>
    <n v="2"/>
    <n v="0.5"/>
    <x v="3"/>
  </r>
  <r>
    <x v="1"/>
    <n v="19"/>
    <n v="10"/>
    <n v="2.5"/>
    <x v="2"/>
  </r>
  <r>
    <x v="1"/>
    <n v="19"/>
    <n v="9"/>
    <n v="2.25"/>
    <x v="4"/>
  </r>
  <r>
    <x v="1"/>
    <n v="19"/>
    <n v="0"/>
    <n v="0"/>
    <x v="4"/>
  </r>
  <r>
    <x v="2"/>
    <n v="19"/>
    <n v="7"/>
    <n v="1.75"/>
    <x v="4"/>
  </r>
  <r>
    <x v="2"/>
    <n v="19"/>
    <n v="2"/>
    <n v="0.5"/>
    <x v="1"/>
  </r>
  <r>
    <x v="2"/>
    <n v="19"/>
    <n v="4"/>
    <n v="1"/>
    <x v="1"/>
  </r>
  <r>
    <x v="2"/>
    <n v="19"/>
    <n v="4"/>
    <n v="1"/>
    <x v="3"/>
  </r>
  <r>
    <x v="2"/>
    <n v="19"/>
    <n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G8" firstHeaderRow="1" firstDataRow="2" firstDataCol="1"/>
  <pivotFields count="5">
    <pivotField axis="axisRow" numFmtId="16" showAll="0">
      <items count="29">
        <item m="1" x="21"/>
        <item m="1" x="18"/>
        <item m="1" x="4"/>
        <item m="1" x="22"/>
        <item m="1" x="15"/>
        <item m="1" x="3"/>
        <item m="1" x="20"/>
        <item m="1" x="6"/>
        <item m="1" x="13"/>
        <item m="1" x="27"/>
        <item m="1" x="17"/>
        <item m="1" x="12"/>
        <item m="1" x="26"/>
        <item m="1" x="19"/>
        <item m="1" x="5"/>
        <item m="1" x="7"/>
        <item m="1" x="11"/>
        <item m="1" x="23"/>
        <item m="1" x="8"/>
        <item m="1" x="14"/>
        <item m="1" x="24"/>
        <item m="1" x="9"/>
        <item m="1" x="16"/>
        <item m="1" x="25"/>
        <item m="1" x="10"/>
        <item x="1"/>
        <item x="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9">
        <item x="2"/>
        <item m="1" x="6"/>
        <item x="4"/>
        <item m="1" x="7"/>
        <item m="1" x="5"/>
        <item x="3"/>
        <item x="0"/>
        <item x="1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4"/>
  </colFields>
  <colItems count="6">
    <i>
      <x/>
    </i>
    <i>
      <x v="2"/>
    </i>
    <i>
      <x v="5"/>
    </i>
    <i>
      <x v="6"/>
    </i>
    <i>
      <x v="7"/>
    </i>
    <i t="grand">
      <x/>
    </i>
  </colItems>
  <dataFields count="1">
    <dataField name="Somme de Temps [h]" fld="3" baseField="0" baseItem="0" numFmtId="2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5"/>
  <sheetViews>
    <sheetView zoomScaleNormal="100" workbookViewId="0">
      <selection activeCell="C17" sqref="C17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43235</v>
      </c>
      <c r="B2" s="14">
        <f t="shared" ref="B2" si="0">WEEKNUM(A2)</f>
        <v>20</v>
      </c>
      <c r="C2" s="23">
        <v>9</v>
      </c>
      <c r="D2" s="20">
        <f t="shared" ref="D2" si="1">C2/4</f>
        <v>2.25</v>
      </c>
      <c r="E2" s="9" t="s">
        <v>15</v>
      </c>
      <c r="F2" s="10" t="s">
        <v>36</v>
      </c>
      <c r="G2" s="26"/>
      <c r="J2" s="11"/>
    </row>
    <row r="3" spans="1:10" x14ac:dyDescent="0.25">
      <c r="A3" s="17">
        <v>43235</v>
      </c>
      <c r="B3" s="14">
        <f t="shared" ref="B3" si="2">WEEKNUM(A3)</f>
        <v>20</v>
      </c>
      <c r="C3" s="23">
        <v>3</v>
      </c>
      <c r="D3" s="20">
        <f t="shared" ref="D3" si="3">C3/4</f>
        <v>0.75</v>
      </c>
      <c r="E3" s="9" t="s">
        <v>34</v>
      </c>
      <c r="F3" s="10" t="s">
        <v>31</v>
      </c>
      <c r="G3" s="26" t="s">
        <v>35</v>
      </c>
      <c r="J3" s="11"/>
    </row>
    <row r="4" spans="1:10" x14ac:dyDescent="0.25">
      <c r="A4" s="17">
        <v>43235</v>
      </c>
      <c r="B4" s="14">
        <f t="shared" ref="B4" si="4">WEEKNUM(A4)</f>
        <v>20</v>
      </c>
      <c r="C4" s="23">
        <v>3</v>
      </c>
      <c r="D4" s="20">
        <f t="shared" ref="D4" si="5">C4/4</f>
        <v>0.75</v>
      </c>
      <c r="E4" s="9" t="s">
        <v>9</v>
      </c>
      <c r="F4" s="10" t="s">
        <v>33</v>
      </c>
      <c r="G4" s="26" t="s">
        <v>32</v>
      </c>
      <c r="J4" s="11"/>
    </row>
    <row r="5" spans="1:10" x14ac:dyDescent="0.25">
      <c r="A5" s="17">
        <v>43229</v>
      </c>
      <c r="B5" s="14">
        <f t="shared" ref="B5" si="6">WEEKNUM(A5)</f>
        <v>19</v>
      </c>
      <c r="C5" s="23">
        <v>2</v>
      </c>
      <c r="D5" s="20">
        <f t="shared" ref="D5" si="7">C5/4</f>
        <v>0.5</v>
      </c>
      <c r="E5" s="9" t="s">
        <v>34</v>
      </c>
      <c r="F5" s="10" t="s">
        <v>31</v>
      </c>
      <c r="G5" s="26"/>
      <c r="J5" s="11"/>
    </row>
    <row r="6" spans="1:10" x14ac:dyDescent="0.25">
      <c r="A6" s="17">
        <v>43229</v>
      </c>
      <c r="B6" s="14">
        <f t="shared" ref="B6" si="8">WEEKNUM(A6)</f>
        <v>19</v>
      </c>
      <c r="C6" s="23">
        <v>1</v>
      </c>
      <c r="D6" s="20">
        <f t="shared" ref="D6" si="9">C6/4</f>
        <v>0.25</v>
      </c>
      <c r="E6" s="9" t="s">
        <v>9</v>
      </c>
      <c r="F6" s="10" t="s">
        <v>30</v>
      </c>
      <c r="G6" s="26"/>
      <c r="J6" s="11"/>
    </row>
    <row r="7" spans="1:10" ht="30" x14ac:dyDescent="0.25">
      <c r="A7" s="17">
        <v>43229</v>
      </c>
      <c r="B7" s="14">
        <f t="shared" ref="B7" si="10">WEEKNUM(A7)</f>
        <v>19</v>
      </c>
      <c r="C7" s="23">
        <v>2</v>
      </c>
      <c r="D7" s="20">
        <f t="shared" ref="D7" si="11">C7/4</f>
        <v>0.5</v>
      </c>
      <c r="E7" s="9" t="s">
        <v>16</v>
      </c>
      <c r="F7" s="10" t="s">
        <v>28</v>
      </c>
      <c r="G7" s="26" t="s">
        <v>29</v>
      </c>
      <c r="J7" s="11"/>
    </row>
    <row r="8" spans="1:10" x14ac:dyDescent="0.25">
      <c r="A8" s="17">
        <v>43229</v>
      </c>
      <c r="B8" s="14">
        <f t="shared" ref="B8" si="12">WEEKNUM(A8)</f>
        <v>19</v>
      </c>
      <c r="C8" s="23">
        <v>10</v>
      </c>
      <c r="D8" s="20">
        <f t="shared" ref="D8" si="13">C8/4</f>
        <v>2.5</v>
      </c>
      <c r="E8" s="9" t="s">
        <v>9</v>
      </c>
      <c r="F8" s="10" t="s">
        <v>27</v>
      </c>
      <c r="G8" s="26"/>
      <c r="J8" s="11"/>
    </row>
    <row r="9" spans="1:10" x14ac:dyDescent="0.25">
      <c r="A9" s="17">
        <v>43229</v>
      </c>
      <c r="B9" s="14">
        <f t="shared" ref="B9" si="14">WEEKNUM(A9)</f>
        <v>19</v>
      </c>
      <c r="C9" s="23">
        <v>9</v>
      </c>
      <c r="D9" s="20">
        <f t="shared" ref="D9" si="15">C9/4</f>
        <v>2.25</v>
      </c>
      <c r="E9" s="9" t="s">
        <v>6</v>
      </c>
      <c r="F9" s="10" t="s">
        <v>25</v>
      </c>
      <c r="G9" s="26" t="s">
        <v>26</v>
      </c>
      <c r="J9" s="11"/>
    </row>
    <row r="10" spans="1:10" ht="30" x14ac:dyDescent="0.25">
      <c r="A10" s="17">
        <v>43229</v>
      </c>
      <c r="B10" s="14">
        <f t="shared" ref="B10" si="16">WEEKNUM(A10)</f>
        <v>19</v>
      </c>
      <c r="C10" s="23">
        <v>0</v>
      </c>
      <c r="D10" s="20">
        <f t="shared" ref="D10" si="17">C10/4</f>
        <v>0</v>
      </c>
      <c r="E10" s="9" t="s">
        <v>6</v>
      </c>
      <c r="F10" s="10" t="s">
        <v>23</v>
      </c>
      <c r="G10" s="26" t="s">
        <v>24</v>
      </c>
      <c r="J10" s="11"/>
    </row>
    <row r="11" spans="1:10" x14ac:dyDescent="0.25">
      <c r="A11" s="17">
        <v>43228</v>
      </c>
      <c r="B11" s="14">
        <f t="shared" ref="B11" si="18">WEEKNUM(A11)</f>
        <v>19</v>
      </c>
      <c r="C11" s="23">
        <v>7</v>
      </c>
      <c r="D11" s="20">
        <f t="shared" ref="D11" si="19">C11/4</f>
        <v>1.75</v>
      </c>
      <c r="E11" s="9" t="s">
        <v>6</v>
      </c>
      <c r="F11" s="10" t="s">
        <v>21</v>
      </c>
      <c r="G11" s="26" t="s">
        <v>22</v>
      </c>
      <c r="J11" s="11"/>
    </row>
    <row r="12" spans="1:10" x14ac:dyDescent="0.25">
      <c r="A12" s="17">
        <v>43228</v>
      </c>
      <c r="B12" s="14">
        <f t="shared" ref="B12" si="20">WEEKNUM(A12)</f>
        <v>19</v>
      </c>
      <c r="C12" s="23">
        <v>2</v>
      </c>
      <c r="D12" s="20">
        <f t="shared" ref="D12" si="21">C12/4</f>
        <v>0.5</v>
      </c>
      <c r="E12" s="9" t="s">
        <v>34</v>
      </c>
      <c r="F12" s="10" t="s">
        <v>20</v>
      </c>
      <c r="G12" s="26"/>
      <c r="J12" s="11"/>
    </row>
    <row r="13" spans="1:10" x14ac:dyDescent="0.25">
      <c r="A13" s="17">
        <v>43228</v>
      </c>
      <c r="B13" s="14">
        <f t="shared" ref="B13" si="22">WEEKNUM(A13)</f>
        <v>19</v>
      </c>
      <c r="C13" s="23">
        <v>4</v>
      </c>
      <c r="D13" s="20">
        <f t="shared" ref="D13" si="23">C13/4</f>
        <v>1</v>
      </c>
      <c r="E13" s="9" t="s">
        <v>34</v>
      </c>
      <c r="F13" s="10" t="s">
        <v>19</v>
      </c>
      <c r="G13" s="26"/>
      <c r="J13" s="11"/>
    </row>
    <row r="14" spans="1:10" ht="30" x14ac:dyDescent="0.25">
      <c r="A14" s="17">
        <v>43228</v>
      </c>
      <c r="B14" s="14">
        <f t="shared" ref="B14" si="24">WEEKNUM(A14)</f>
        <v>19</v>
      </c>
      <c r="C14" s="23">
        <v>4</v>
      </c>
      <c r="D14" s="20">
        <f t="shared" ref="D14" si="25">C14/4</f>
        <v>1</v>
      </c>
      <c r="E14" s="9" t="s">
        <v>16</v>
      </c>
      <c r="F14" s="10" t="s">
        <v>18</v>
      </c>
      <c r="G14" s="26"/>
      <c r="J14" s="11"/>
    </row>
    <row r="15" spans="1:10" x14ac:dyDescent="0.25">
      <c r="A15" s="17">
        <v>43228</v>
      </c>
      <c r="B15" s="14">
        <f t="shared" ref="B15" si="26">WEEKNUM(A15)</f>
        <v>19</v>
      </c>
      <c r="C15" s="23">
        <v>0</v>
      </c>
      <c r="D15" s="20">
        <f t="shared" ref="D15" si="27">C15/4</f>
        <v>0</v>
      </c>
      <c r="E15" s="9" t="s">
        <v>34</v>
      </c>
      <c r="F15" s="10" t="s">
        <v>17</v>
      </c>
      <c r="G15" s="26"/>
      <c r="J15" s="11"/>
    </row>
  </sheetData>
  <sheetProtection selectLockedCells="1"/>
  <sortState ref="A2:G35">
    <sortCondition descending="1" ref="A2:A35"/>
  </sortState>
  <printOptions horizontalCentered="1"/>
  <pageMargins left="0.70866141732283472" right="0.70866141732283472" top="0.74803149606299213" bottom="0.74803149606299213" header="0.31496062992125984" footer="0.31496062992125984"/>
  <pageSetup paperSize="152" scale="55" orientation="landscape" r:id="rId1"/>
  <colBreaks count="1" manualBreakCount="1">
    <brk id="7" max="1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Paramètres!$A$2:$A$9</xm:f>
          </x14:formula1>
          <xm:sqref>E2:E15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G8"/>
  <sheetViews>
    <sheetView tabSelected="1" zoomScaleNormal="100" workbookViewId="0">
      <selection activeCell="H15" sqref="H15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1.140625" bestFit="1" customWidth="1"/>
    <col min="6" max="6" width="6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7" x14ac:dyDescent="0.25">
      <c r="A3" s="3" t="s">
        <v>13</v>
      </c>
    </row>
    <row r="4" spans="1:7" x14ac:dyDescent="0.25">
      <c r="B4" t="s">
        <v>9</v>
      </c>
      <c r="C4" t="s">
        <v>6</v>
      </c>
      <c r="D4" t="s">
        <v>16</v>
      </c>
      <c r="E4" t="s">
        <v>15</v>
      </c>
      <c r="F4" t="s">
        <v>34</v>
      </c>
      <c r="G4" t="s">
        <v>11</v>
      </c>
    </row>
    <row r="5" spans="1:7" x14ac:dyDescent="0.25">
      <c r="A5" s="4">
        <v>43229</v>
      </c>
      <c r="B5" s="25">
        <v>2.75</v>
      </c>
      <c r="C5" s="25">
        <v>2.25</v>
      </c>
      <c r="D5" s="25">
        <v>0.5</v>
      </c>
      <c r="E5" s="25"/>
      <c r="F5" s="25">
        <v>0.5</v>
      </c>
      <c r="G5" s="25">
        <v>6</v>
      </c>
    </row>
    <row r="6" spans="1:7" x14ac:dyDescent="0.25">
      <c r="A6" s="4">
        <v>43228</v>
      </c>
      <c r="B6" s="25"/>
      <c r="C6" s="25">
        <v>1.75</v>
      </c>
      <c r="D6" s="25">
        <v>1</v>
      </c>
      <c r="E6" s="25"/>
      <c r="F6" s="25">
        <v>1.5</v>
      </c>
      <c r="G6" s="25">
        <v>4.25</v>
      </c>
    </row>
    <row r="7" spans="1:7" x14ac:dyDescent="0.25">
      <c r="A7" s="4">
        <v>43235</v>
      </c>
      <c r="B7" s="25">
        <v>0.75</v>
      </c>
      <c r="C7" s="25"/>
      <c r="D7" s="25"/>
      <c r="E7" s="25">
        <v>2.25</v>
      </c>
      <c r="F7" s="25">
        <v>0.75</v>
      </c>
      <c r="G7" s="25">
        <v>3.75</v>
      </c>
    </row>
    <row r="8" spans="1:7" x14ac:dyDescent="0.25">
      <c r="A8" s="4" t="s">
        <v>11</v>
      </c>
      <c r="B8" s="25">
        <v>3.5</v>
      </c>
      <c r="C8" s="25">
        <v>4</v>
      </c>
      <c r="D8" s="25">
        <v>1.5</v>
      </c>
      <c r="E8" s="25">
        <v>2.25</v>
      </c>
      <c r="F8" s="25">
        <v>2.75</v>
      </c>
      <c r="G8" s="25">
        <v>14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9"/>
  <sheetViews>
    <sheetView workbookViewId="0">
      <selection activeCell="H6" sqref="H6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  <row r="9" spans="1:1" x14ac:dyDescent="0.25">
      <c r="A9" s="1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2018-05-15T13:53:38Z</dcterms:modified>
</cp:coreProperties>
</file>