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1302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B2" i="1"/>
  <c r="D3" i="1"/>
  <c r="B3" i="1"/>
  <c r="D4" i="1"/>
  <c r="B4" i="1"/>
  <c r="D5" i="1"/>
  <c r="B5" i="1"/>
  <c r="D6" i="1"/>
  <c r="B6" i="1"/>
  <c r="D7" i="1"/>
  <c r="B7" i="1"/>
  <c r="D8" i="1"/>
  <c r="B8" i="1"/>
</calcChain>
</file>

<file path=xl/sharedStrings.xml><?xml version="1.0" encoding="utf-8"?>
<sst xmlns="http://schemas.openxmlformats.org/spreadsheetml/2006/main" count="37" uniqueCount="27">
  <si>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</si>
  <si>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</si>
  <si>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</si>
  <si>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</si>
  <si>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</si>
  <si>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</si>
  <si>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</si>
  <si>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</si>
  <si>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</si>
  <si>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</si>
  <si>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</si>
  <si>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</si>
  <si>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</si>
  <si>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</si>
  <si>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</si>
  <si>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Conception</t>
  </si>
  <si>
    <t>Entretient</t>
  </si>
  <si>
    <t>Début du TPI</t>
  </si>
  <si>
    <t>Rencontre avec le premier expert qui nous a fournis plusieurs informations sur le déroulement du TPI, distribution du cahier des charges et signature de celui-ci</t>
  </si>
  <si>
    <t>Téléchargement et installation de PHP storm, du débuger et de MySQL</t>
  </si>
  <si>
    <t xml:space="preserve">Création d'un repo' git sur Bitbucket </t>
  </si>
  <si>
    <t>Création de la plannification initiale</t>
  </si>
  <si>
    <t xml:space="preserve">Aide de Julien pour la mise en page </t>
  </si>
  <si>
    <t>L'expert deux m'a demandé de faire quelques corrections sur ma plannification initiale car il avait quelques difficulté à le lire</t>
  </si>
  <si>
    <t>Voir Issue #1</t>
  </si>
  <si>
    <t>Correction du planning initiale</t>
  </si>
  <si>
    <t>Quelques difficultés et corrections à faire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</si>
</sst>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" xfId="0" quotePrefix="1" applyBorder="1" applyAlignment="1" applyProtection="1">
      <alignment horizontal="left" vertical="center" wrapText="1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229.383818981485" createdVersion="4" refreshedVersion="6" minRefreshableVersion="3" recordCount="6">
  <cacheSource type="worksheet">
    <worksheetSource ref="A1:E8" sheet="Journal"/>
  </cacheSource>
  <cacheFields count="5">
    <cacheField name="Jour" numFmtId="164">
      <sharedItems containsSemiMixedTypes="0" containsNonDate="0" containsDate="1" containsString="0" minDate="2018-01-01T00:00:00" maxDate="2018-05-10T00:00:00" count="27">
        <d v="2018-05-09T00:00:00"/>
        <d v="2018-05-08T00:00:00"/>
        <d v="2018-02-09T00:00:00" u="1"/>
        <d v="2018-02-02T00:00:00" u="1"/>
        <d v="2018-04-17T00:00:00" u="1"/>
        <d v="2018-02-12T00:00:00" u="1"/>
        <d v="2018-03-29T00:00:00" u="1"/>
        <d v="2018-03-22T00:00:00" u="1"/>
        <d v="2018-03-15T00:00:00" u="1"/>
        <d v="2018-03-08T00:00:00" u="1"/>
        <d v="2018-03-27T00:00:00" u="1"/>
        <d v="2018-03-01T00:00:00" u="1"/>
        <d v="2018-02-15T00:00:00" u="1"/>
        <d v="2018-03-20T00:00:00" u="1"/>
        <d v="2018-02-08T00:00:00" u="1"/>
        <d v="2018-03-13T00:00:00" u="1"/>
        <d v="2018-02-27T00:00:00" u="1"/>
        <d v="2018-02-01T00:00:00" u="1"/>
        <d v="2018-03-06T00:00:00" u="1"/>
        <d v="2018-02-13T00:00:00" u="1"/>
        <d v="2018-01-01T00:00:00" u="1"/>
        <d v="2018-02-06T00:00:00" u="1"/>
        <d v="2018-03-23T00:00:00" u="1"/>
        <d v="2018-03-16T00:00:00" u="1"/>
        <d v="2018-03-09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9" maxValue="19"/>
    </cacheField>
    <cacheField name="Temps [1/4h]" numFmtId="1">
      <sharedItems containsSemiMixedTypes="0" containsString="0" containsNumber="1" containsInteger="1" minValue="0" maxValue="5"/>
    </cacheField>
    <cacheField name="Temps [h]" numFmtId="2">
      <sharedItems containsSemiMixedTypes="0" containsString="0" containsNumber="1" minValue="0" maxValue="1.25"/>
    </cacheField>
    <cacheField name="Type" numFmtId="0">
      <sharedItems count="6">
        <s v="Analyse"/>
        <s v="Entretient"/>
        <s v="Documentation" u="1"/>
        <s v="Absence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19"/>
    <n v="0"/>
    <n v="0"/>
    <x v="0"/>
  </r>
  <r>
    <x v="1"/>
    <n v="19"/>
    <n v="5"/>
    <n v="1.25"/>
    <x v="0"/>
  </r>
  <r>
    <x v="1"/>
    <n v="19"/>
    <n v="1"/>
    <n v="0.25"/>
    <x v="0"/>
  </r>
  <r>
    <x v="1"/>
    <n v="19"/>
    <n v="4"/>
    <n v="1"/>
    <x v="0"/>
  </r>
  <r>
    <x v="1"/>
    <n v="19"/>
    <n v="4"/>
    <n v="1"/>
    <x v="1"/>
  </r>
  <r>
    <x v="1"/>
    <n v="19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7" firstHeaderRow="1" firstDataRow="2" firstDataCol="1"/>
  <pivotFields count="5">
    <pivotField axis="axisRow" numFmtId="16" showAll="0">
      <items count="28">
        <item m="1" x="20"/>
        <item m="1" x="17"/>
        <item m="1" x="3"/>
        <item m="1" x="21"/>
        <item m="1" x="14"/>
        <item m="1" x="2"/>
        <item m="1" x="19"/>
        <item m="1" x="5"/>
        <item m="1" x="12"/>
        <item m="1" x="26"/>
        <item m="1" x="16"/>
        <item m="1" x="11"/>
        <item m="1" x="25"/>
        <item m="1" x="18"/>
        <item m="1" x="4"/>
        <item m="1" x="6"/>
        <item m="1" x="10"/>
        <item m="1" x="22"/>
        <item m="1" x="7"/>
        <item m="1" x="13"/>
        <item m="1" x="23"/>
        <item m="1" x="8"/>
        <item m="1" x="15"/>
        <item m="1" x="24"/>
        <item m="1" x="9"/>
        <item x="0"/>
        <item x="1"/>
        <item t="default"/>
      </items>
    </pivotField>
    <pivotField showAll="0"/>
    <pivotField numFmtId="1" showAll="0" defaultSubtotal="0"/>
    <pivotField dataField="1" showAll="0"/>
    <pivotField axis="axisCol" showAll="0">
      <items count="7">
        <item m="1" x="2"/>
        <item m="1" x="5"/>
        <item x="0"/>
        <item m="1" x="4"/>
        <item m="1" x="3"/>
        <item x="1"/>
        <item t="default"/>
      </items>
    </pivotField>
  </pivotFields>
  <rowFields count="1">
    <field x="0"/>
  </rowFields>
  <rowItems count="3">
    <i>
      <x v="25"/>
    </i>
    <i>
      <x v="26"/>
    </i>
    <i t="grand">
      <x/>
    </i>
  </rowItems>
  <colFields count="1">
    <field x="4"/>
  </colFields>
  <colItems count="3">
    <i>
      <x v="2"/>
    </i>
    <i>
      <x v="5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8"/>
  <sheetViews>
    <sheetView tabSelected="1" zoomScaleNormal="100" workbookViewId="0">
      <selection activeCell="F2" sqref="F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43229</v>
      </c>
      <c r="B2" s="14">
        <f t="shared" ref="B2" si="0">WEEKNUM(A2)</f>
        <v>19</v>
      </c>
      <c r="C2" s="23">
        <v>6</v>
      </c>
      <c r="D2" s="20">
        <f t="shared" ref="D2" si="1">C2/4</f>
        <v>1.5</v>
      </c>
      <c r="E2" s="9" t="s">
        <v>6</v>
      </c>
      <c r="F2" s="10" t="s">
        <v>25</v>
      </c>
      <c r="G2" s="26" t="s">
        <v>26</v>
      </c>
      <c r="J2" s="11"/>
    </row>
    <row r="3" spans="1:10" ht="30" x14ac:dyDescent="0.25">
      <c r="A3" s="17">
        <v>43229</v>
      </c>
      <c r="B3" s="14">
        <f t="shared" ref="B3" si="2">WEEKNUM(A3)</f>
        <v>19</v>
      </c>
      <c r="C3" s="23">
        <v>0</v>
      </c>
      <c r="D3" s="20">
        <f t="shared" ref="D3" si="3">C3/4</f>
        <v>0</v>
      </c>
      <c r="E3" s="9" t="s">
        <v>6</v>
      </c>
      <c r="F3" s="10" t="s">
        <v>23</v>
      </c>
      <c r="G3" s="26" t="s">
        <v>24</v>
      </c>
      <c r="J3" s="11"/>
    </row>
    <row r="4" spans="1:10" x14ac:dyDescent="0.25">
      <c r="A4" s="17">
        <v>43228</v>
      </c>
      <c r="B4" s="14">
        <f t="shared" ref="B4" si="4">WEEKNUM(A4)</f>
        <v>19</v>
      </c>
      <c r="C4" s="23">
        <v>5</v>
      </c>
      <c r="D4" s="20">
        <f t="shared" ref="D4" si="5">C4/4</f>
        <v>1.25</v>
      </c>
      <c r="E4" s="9" t="s">
        <v>6</v>
      </c>
      <c r="F4" s="10" t="s">
        <v>21</v>
      </c>
      <c r="G4" s="26" t="s">
        <v>22</v>
      </c>
      <c r="J4" s="11"/>
    </row>
    <row r="5" spans="1:10" x14ac:dyDescent="0.25">
      <c r="A5" s="17">
        <v>43228</v>
      </c>
      <c r="B5" s="14">
        <f t="shared" ref="B5" si="6">WEEKNUM(A5)</f>
        <v>19</v>
      </c>
      <c r="C5" s="23">
        <v>1</v>
      </c>
      <c r="D5" s="20">
        <f t="shared" ref="D5" si="7">C5/4</f>
        <v>0.25</v>
      </c>
      <c r="E5" s="9" t="s">
        <v>6</v>
      </c>
      <c r="F5" s="10" t="s">
        <v>20</v>
      </c>
      <c r="G5" s="26"/>
      <c r="J5" s="11"/>
    </row>
    <row r="6" spans="1:10" x14ac:dyDescent="0.25">
      <c r="A6" s="17">
        <v>43228</v>
      </c>
      <c r="B6" s="14">
        <f t="shared" ref="B6" si="8">WEEKNUM(A6)</f>
        <v>19</v>
      </c>
      <c r="C6" s="23">
        <v>4</v>
      </c>
      <c r="D6" s="20">
        <f t="shared" ref="D6" si="9">C6/4</f>
        <v>1</v>
      </c>
      <c r="E6" s="9" t="s">
        <v>6</v>
      </c>
      <c r="F6" s="10" t="s">
        <v>19</v>
      </c>
      <c r="G6" s="26"/>
      <c r="J6" s="11"/>
    </row>
    <row r="7" spans="1:10" ht="30" x14ac:dyDescent="0.25">
      <c r="A7" s="17">
        <v>43228</v>
      </c>
      <c r="B7" s="14">
        <f t="shared" ref="B7" si="10">WEEKNUM(A7)</f>
        <v>19</v>
      </c>
      <c r="C7" s="23">
        <v>4</v>
      </c>
      <c r="D7" s="20">
        <f t="shared" ref="D7" si="11">C7/4</f>
        <v>1</v>
      </c>
      <c r="E7" s="9" t="s">
        <v>16</v>
      </c>
      <c r="F7" s="10" t="s">
        <v>18</v>
      </c>
      <c r="G7" s="26"/>
      <c r="J7" s="11"/>
    </row>
    <row r="8" spans="1:10" x14ac:dyDescent="0.25">
      <c r="A8" s="17">
        <v>43228</v>
      </c>
      <c r="B8" s="14">
        <f t="shared" ref="B8" si="12">WEEKNUM(A8)</f>
        <v>19</v>
      </c>
      <c r="C8" s="23">
        <v>0</v>
      </c>
      <c r="D8" s="20">
        <f t="shared" ref="D8" si="13">C8/4</f>
        <v>0</v>
      </c>
      <c r="E8" s="9" t="s">
        <v>6</v>
      </c>
      <c r="F8" s="10" t="s">
        <v>17</v>
      </c>
      <c r="G8" s="26"/>
      <c r="J8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Paramètres!$A$2:$A$8</xm:f>
          </x14:formula1>
          <xm:sqref>E2:E8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7"/>
  <sheetViews>
    <sheetView workbookViewId="0">
      <selection activeCell="C14" sqref="C14"/>
    </sheetView>
  </sheetViews>
  <sheetFormatPr baseColWidth="10" defaultRowHeight="15" x14ac:dyDescent="0.25"/>
  <cols>
    <col min="1" max="1" width="19.85546875" bestFit="1" customWidth="1"/>
    <col min="2" max="2" width="8" customWidth="1"/>
    <col min="3" max="3" width="10" customWidth="1"/>
    <col min="4" max="4" width="12.5703125" bestFit="1" customWidth="1"/>
    <col min="5" max="5" width="5.5703125" bestFit="1" customWidth="1"/>
    <col min="6" max="6" width="8.5703125" bestFit="1" customWidth="1"/>
    <col min="7" max="7" width="12.5703125" bestFit="1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3" t="s">
        <v>13</v>
      </c>
    </row>
    <row r="4" spans="1:4" x14ac:dyDescent="0.25">
      <c r="B4" t="s">
        <v>6</v>
      </c>
      <c r="C4" t="s">
        <v>16</v>
      </c>
      <c r="D4" t="s">
        <v>11</v>
      </c>
    </row>
    <row r="5" spans="1:4" x14ac:dyDescent="0.25">
      <c r="A5" s="4">
        <v>43229</v>
      </c>
      <c r="B5" s="25">
        <v>0</v>
      </c>
      <c r="C5" s="25"/>
      <c r="D5" s="25">
        <v>0</v>
      </c>
    </row>
    <row r="6" spans="1:4" x14ac:dyDescent="0.25">
      <c r="A6" s="4">
        <v>43228</v>
      </c>
      <c r="B6" s="25">
        <v>2.5</v>
      </c>
      <c r="C6" s="25">
        <v>1</v>
      </c>
      <c r="D6" s="25">
        <v>3.5</v>
      </c>
    </row>
    <row r="7" spans="1:4" x14ac:dyDescent="0.25">
      <c r="A7" s="4" t="s">
        <v>11</v>
      </c>
      <c r="B7" s="25">
        <v>2.5</v>
      </c>
      <c r="C7" s="25">
        <v>1</v>
      </c>
      <c r="D7" s="25">
        <v>3.5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8"/>
  <sheetViews>
    <sheetView workbookViewId="0">
      <selection activeCell="A7" sqref="A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15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16</v>
      </c>
    </row>
    <row r="8" spans="1:1" x14ac:dyDescent="0.25">
      <c r="A8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2018-05-09T08:55:38Z</dcterms:modified>
</cp:coreProperties>
</file>