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36270" yWindow="465" windowWidth="28800" windowHeight="17535"/>
  </bookViews>
  <sheets>
    <sheet name="Journal" sheetId="1" r:id="rId1"/>
    <sheet name="Totaux" sheetId="4" r:id="rId2"/>
    <sheet name="Paramètres" sheetId="2" r:id="rId3"/>
  </sheets>
  <definedNames>
    <definedName name="_xlnm.Print_Area" localSheetId="0">Journal!$A$1:$G$56</definedName>
  </definedNames>
  <calcPr calcId="162913" concurrentCalc="0"/>
  <pivotCaches>
    <pivotCache cacheId="2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D10" i="1" l="1"/>
  <c r="B10" i="1"/>
  <c r="D2" i="1"/>
  <c r="B2" i="1"/>
  <c r="D3" i="1"/>
  <c r="B3" i="1"/>
  <c r="D4" i="1"/>
  <c r="B4" i="1"/>
  <c r="D5" i="1"/>
  <c r="B5" i="1"/>
  <c r="D6" i="1"/>
  <c r="B6" i="1"/>
  <c r="D7" i="1"/>
  <c r="B7" i="1"/>
  <c r="D8" i="1"/>
  <c r="B8" i="1"/>
  <c r="D9" i="1"/>
  <c r="B9" i="1"/>
  <c r="D11" i="1"/>
  <c r="B11" i="1"/>
  <c r="D12" i="1"/>
  <c r="B12" i="1"/>
  <c r="D13" i="1"/>
  <c r="B13" i="1"/>
  <c r="D14" i="1"/>
  <c r="B14" i="1"/>
  <c r="D15" i="1"/>
  <c r="B15" i="1"/>
  <c r="D16" i="1"/>
  <c r="B16" i="1"/>
  <c r="D17" i="1"/>
  <c r="B17" i="1"/>
  <c r="D18" i="1"/>
  <c r="B18" i="1"/>
  <c r="D19" i="1"/>
  <c r="B19" i="1"/>
  <c r="D20" i="1"/>
  <c r="B20" i="1"/>
  <c r="D21" i="1"/>
  <c r="B21" i="1"/>
  <c r="D22" i="1"/>
  <c r="B22" i="1"/>
  <c r="D23" i="1"/>
  <c r="B23" i="1"/>
  <c r="D24" i="1"/>
  <c r="B24" i="1"/>
  <c r="D25" i="1"/>
  <c r="B25" i="1"/>
  <c r="D26" i="1"/>
  <c r="B26" i="1"/>
  <c r="D27" i="1"/>
  <c r="B27" i="1"/>
  <c r="D28" i="1"/>
  <c r="B28" i="1"/>
  <c r="D29" i="1"/>
  <c r="B29" i="1"/>
  <c r="D30" i="1"/>
  <c r="B30" i="1"/>
  <c r="D31" i="1"/>
  <c r="B31" i="1"/>
  <c r="D32" i="1"/>
  <c r="B32" i="1"/>
  <c r="D34" i="1"/>
  <c r="D33" i="1"/>
  <c r="B33" i="1"/>
  <c r="B34" i="1"/>
  <c r="D35" i="1"/>
  <c r="B35" i="1"/>
  <c r="D36" i="1"/>
  <c r="B36" i="1"/>
  <c r="D37" i="1"/>
  <c r="B37" i="1"/>
  <c r="D38" i="1"/>
  <c r="B38" i="1"/>
  <c r="D39" i="1"/>
  <c r="B39" i="1"/>
  <c r="D40" i="1"/>
  <c r="B40" i="1"/>
  <c r="D41" i="1"/>
  <c r="B41" i="1"/>
  <c r="D42" i="1"/>
  <c r="B42" i="1"/>
  <c r="D43" i="1"/>
  <c r="B43" i="1"/>
  <c r="D44" i="1"/>
  <c r="B44" i="1"/>
  <c r="D45" i="1"/>
  <c r="B45" i="1"/>
  <c r="D46" i="1"/>
  <c r="B46" i="1"/>
  <c r="D47" i="1"/>
  <c r="B47" i="1"/>
  <c r="D48" i="1"/>
  <c r="B48" i="1"/>
  <c r="D49" i="1"/>
  <c r="B49" i="1"/>
  <c r="D50" i="1"/>
  <c r="B50" i="1"/>
  <c r="D51" i="1"/>
  <c r="B51" i="1"/>
  <c r="D52" i="1"/>
  <c r="B52" i="1"/>
  <c r="D53" i="1"/>
  <c r="B53" i="1"/>
  <c r="D54" i="1"/>
  <c r="B54" i="1"/>
  <c r="D55" i="1"/>
  <c r="B55" i="1"/>
  <c r="D56" i="1"/>
  <c r="B56" i="1"/>
</calcChain>
</file>

<file path=xl/sharedStrings.xml><?xml version="1.0" encoding="utf-8"?>
<sst xmlns="http://schemas.openxmlformats.org/spreadsheetml/2006/main" count="154" uniqueCount="89">
  <si>
    <t>Description</t>
  </si>
  <si>
    <t>Remarques/problèmes</t>
  </si>
  <si>
    <t>Jour</t>
  </si>
  <si>
    <t>Temps [h]</t>
  </si>
  <si>
    <t>Type</t>
  </si>
  <si>
    <t>Types de tâches</t>
  </si>
  <si>
    <t>Analyse</t>
  </si>
  <si>
    <t>Implémentation</t>
  </si>
  <si>
    <t>Tests</t>
  </si>
  <si>
    <t>Documentation</t>
  </si>
  <si>
    <t>Absence</t>
  </si>
  <si>
    <t>Total général</t>
  </si>
  <si>
    <t>Semaine</t>
  </si>
  <si>
    <t>Somme de Temps [h]</t>
  </si>
  <si>
    <t>Temps [1/4h]</t>
  </si>
  <si>
    <t>Conception</t>
  </si>
  <si>
    <t>Entretient</t>
  </si>
  <si>
    <t>Début du TPI</t>
  </si>
  <si>
    <t>Rencontre avec le premier expert qui nous a fournis plusieurs informations sur le déroulement du TPI, distribution du cahier des charges et signature de celui-ci</t>
  </si>
  <si>
    <t>Téléchargement et installation de PHP storm, du débuger et de MySQL</t>
  </si>
  <si>
    <t xml:space="preserve">Création d'un repo' git sur Bitbucket </t>
  </si>
  <si>
    <t>Création de la plannification initiale</t>
  </si>
  <si>
    <t xml:space="preserve">Aide de Julien pour la mise en page </t>
  </si>
  <si>
    <t>L'expert deux m'a demandé de faire quelques corrections sur ma plannification initiale car il avait quelques difficulté à le lire</t>
  </si>
  <si>
    <t>Voir Issue #1</t>
  </si>
  <si>
    <t>Correction du planning initiale</t>
  </si>
  <si>
    <t>Quelques difficultés et corrections à faire</t>
  </si>
  <si>
    <t xml:space="preserve">Début de la documentation </t>
  </si>
  <si>
    <t>Mise au point avec le chef de projet pour répondre à mes questions et pour planifier les différentes tâches de la semaine prochaine.</t>
  </si>
  <si>
    <t>Il a été décidé de retiré l'ajout de média de type "son" du cahier des charges + de se focaliser sur les maquettes jusqu'au prochain entretient</t>
  </si>
  <si>
    <t xml:space="preserve">Correction de la documentation &amp; des dates du planning ainsi que des ratios </t>
  </si>
  <si>
    <t>Recherche de template pour la conception des maquettes</t>
  </si>
  <si>
    <t>Mise à jour du planning comme re-demandé par l'Expert 1, modification de la documentation</t>
  </si>
  <si>
    <t>Autre</t>
  </si>
  <si>
    <t>Pas beaucoup de templates gratuits…</t>
  </si>
  <si>
    <t>Création des maquettes</t>
  </si>
  <si>
    <t>Mise à jour de la documentation</t>
  </si>
  <si>
    <t>Quelques problèmes avec les macros de du JB / Correction de la mise en page de la doc</t>
  </si>
  <si>
    <t>Page profile, home, login, Affichage cosplay, Affichage des tutos/conv et explore</t>
  </si>
  <si>
    <t>Maquettes</t>
  </si>
  <si>
    <t>Entretient avec le chef de projet. Il a été décidé de changer de stratégie car j'étais partie pour créer une interface neuve, on a donc décidé de prendre un template déjà existant pour avoir une maquette fonctionnelle pour la gestion du profil</t>
  </si>
  <si>
    <t>Correction du planning</t>
  </si>
  <si>
    <t xml:space="preserve">Documentation - ajout </t>
  </si>
  <si>
    <t>Implémentation du template fournit par le CdP. Téléchargement réussi + intégration dans Phpstorm ainsi que du git</t>
  </si>
  <si>
    <t>Création des maquettes v2</t>
  </si>
  <si>
    <t>J'ai envoyé un exemple au Cdp pourqu'il me dise si j'étais dans la bonne direction, il m'a indiqué que oui mais qu'il y avait quelques petites choses à faire attention</t>
  </si>
  <si>
    <t>Modification du templates selon les maquettes</t>
  </si>
  <si>
    <t>Documentation - ajout</t>
  </si>
  <si>
    <t>Documentation - Modification des maquettes</t>
  </si>
  <si>
    <t>Corrections formulaires dans le template</t>
  </si>
  <si>
    <t>Trop de pop up que je ne pouvais pas exploiter en fonction des besoins</t>
  </si>
  <si>
    <t>Mise à jour de la documentation pour comparer les maquettes, ce que j'avais prévu et le résultat attendu/actuelles</t>
  </si>
  <si>
    <t xml:space="preserve">Modifications de formulaires dans l'ajout de "WIP" </t>
  </si>
  <si>
    <t>Entretient avec le deuxième expert pour faire un pointage de ce que j'ai pu faire</t>
  </si>
  <si>
    <t>On a pu parlé des difficultés ainsi que regardé la grille ensemble. On a également pu discuter de la procédure pour les rendus ainsi que pour la présentation. Il a soulevé que ma documentation était très légère mais néanmoins proportionnelle à ce que j'avais fais actuellement. Un certain retard par rapport à la plannifcation.</t>
  </si>
  <si>
    <t>Recherche pour automatiser des backups dans un cloud sur dropbox</t>
  </si>
  <si>
    <t>D'abord essayer avec Google Drive mais n'incluait pas la fonction de time trigger</t>
  </si>
  <si>
    <t xml:space="preserve">Conception du MCD et du MLD </t>
  </si>
  <si>
    <t>Modification du templates pour ajouter les events, les wips et la galerie + finition du MCD et MLD au propre</t>
  </si>
  <si>
    <t>J'avais oublié ces sections dans le template</t>
  </si>
  <si>
    <t>Entretient avec le chef de projet. L'avancement est conforme aux sprints même s'il y a deux trois choses à corriger. On a donc fait un nouveau sprint avec les choses à corriger en priorité.</t>
  </si>
  <si>
    <t>Changement des descriptifs dans la documentation, changements des MCD et MLD, création du MVC</t>
  </si>
  <si>
    <t>Modification de la documentation pour changer les descriptions des maquettes</t>
  </si>
  <si>
    <t>Modification de certaines maquettes dans la documentation. J'ai complété d'avantage les descriptions en rajoutant des numéros correspondant à la description pour que ce soit plus clair.</t>
  </si>
  <si>
    <t>Certaines captures d'écran que je vais devoir refaire car elles ne sont pas complètes</t>
  </si>
  <si>
    <t>Ajout de données réelles pour mieux représenter la comparaison entre les changements et le résultat attendu. J'ai donc refais certaines captures d'écran.</t>
  </si>
  <si>
    <t>J'ai retravaillé sur le MCD et le MLD mais le résultat attendu ne me convenait pas.</t>
  </si>
  <si>
    <t>J'ai refais le MCD au propre sans la table intermédiaire que j'avais mise puis j'ai fais le MLD également. Je n'ai pas encore rédigé la description du MCD</t>
  </si>
  <si>
    <t>Création de la structure MVC pour le site car il était d'origine juste en vue. D'après mon sprint, je dois pouvoir travailler ensuite sur une structure en MVC, alors j'ai pris un peu d'avance sur ce sprint car je peux faire la rédaction de mon MCD plus tard.</t>
  </si>
  <si>
    <t>J'ai continué de relié mes pages pour que le MVC fonctionne mais pour la page "Explore", le javascript pour le pop-up des images ne semble plus fonctionner</t>
  </si>
  <si>
    <t>Je n'ai pas encore résolu ce problème et le met de côté pour l'instant</t>
  </si>
  <si>
    <t>Remplis quelques points de ma documentation</t>
  </si>
  <si>
    <t>Structure du site en cours de modélisation</t>
  </si>
  <si>
    <t>Continue la structure MVC</t>
  </si>
  <si>
    <t>Installation de visio  structure du site</t>
  </si>
  <si>
    <t>Finitiond de la structure MVC</t>
  </si>
  <si>
    <t>Connexion a la BD et affichage des données dans le profile</t>
  </si>
  <si>
    <t>Modification de la documentation</t>
  </si>
  <si>
    <t>Tenter de modifier des données mais j'arrive pas à comprendre comment ni pourquoi cela ne marche pas</t>
  </si>
  <si>
    <t>Toujours pas résolu</t>
  </si>
  <si>
    <t>MAJ dans la documentation</t>
  </si>
  <si>
    <t>Entretient avec le chef de projet</t>
  </si>
  <si>
    <t>Recherche pour résoudre mon problème d'update de donnée sur le site en attendant l'entretient avec le chef de projet</t>
  </si>
  <si>
    <t xml:space="preserve">Implémentation du login facebook </t>
  </si>
  <si>
    <t>Beaucoup de recherche dans la documentation en ligne sur le site developpeur de Facebook</t>
  </si>
  <si>
    <t>Modification du script de la base de donnée pour créer un utilisateur ainsi que pour pré-insérer des pays dans la BD</t>
  </si>
  <si>
    <t>Recherche pour API facebook pour lier à la BD</t>
  </si>
  <si>
    <t>Connexion avec Facebook, j'ai tenté de récupéré le USER ID pour le mettre dans ma BD</t>
  </si>
  <si>
    <t>Examen d'ECG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</si>
</sst>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00C]dddd\,\ d\.\ mmmm\ yyyy;@"/>
  </numFmts>
  <fonts count="6" x14ac:knownFonts="1">
    <font>
      <sz val="11"/>
      <color theme="1"/>
      <name val="Calibri"/>
      <family val="2"/>
      <scheme val="minor"/>
    </font>
    <font>
      <b/>
      <sz val="12"/>
      <color theme="1"/>
      <name val="Calibri"/>
      <family val="2"/>
      <scheme val="minor"/>
    </font>
    <font>
      <b/>
      <u/>
      <sz val="11"/>
      <color theme="1"/>
      <name val="Calibri"/>
      <family val="2"/>
      <scheme val="minor"/>
    </font>
    <font>
      <u/>
      <sz val="11"/>
      <color theme="10"/>
      <name val="Calibri"/>
      <family val="2"/>
      <scheme val="minor"/>
    </font>
    <font>
      <u/>
      <sz val="11"/>
      <color theme="1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3" fillId="0" borderId="0" applyNumberFormat="0" applyFill="0" applyBorder="0" applyAlignment="0" applyProtection="0"/>
    <xf numFmtId="0" fontId="4" fillId="0" borderId="0" applyNumberFormat="0" applyFill="0" applyBorder="0" applyAlignment="0" applyProtection="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4" fontId="1" fillId="2" borderId="1" xfId="0" applyNumberFormat="1" applyFont="1" applyFill="1" applyBorder="1" applyAlignment="1" applyProtection="1">
      <alignment horizontal="center" vertical="center"/>
      <protection locked="0"/>
    </xf>
    <xf numFmtId="164" fontId="0" fillId="0" borderId="1" xfId="0" applyNumberFormat="1" applyBorder="1" applyAlignment="1" applyProtection="1">
      <alignment horizontal="center" vertical="center"/>
      <protection locked="0"/>
    </xf>
    <xf numFmtId="164" fontId="0" fillId="0" borderId="0" xfId="0" applyNumberFormat="1"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2" fontId="0" fillId="0" borderId="1" xfId="0" applyNumberFormat="1" applyBorder="1" applyAlignment="1" applyProtection="1">
      <alignment horizontal="center" vertical="center"/>
      <protection locked="0"/>
    </xf>
    <xf numFmtId="2" fontId="0" fillId="0" borderId="0" xfId="0" applyNumberFormat="1" applyAlignment="1" applyProtection="1">
      <alignment horizontal="center" vertical="center"/>
      <protection locked="0"/>
    </xf>
    <xf numFmtId="1" fontId="1" fillId="2" borderId="1" xfId="0" applyNumberFormat="1" applyFont="1" applyFill="1" applyBorder="1" applyAlignment="1" applyProtection="1">
      <alignment horizontal="center" vertical="center"/>
      <protection locked="0"/>
    </xf>
    <xf numFmtId="1" fontId="0" fillId="0" borderId="1" xfId="0" applyNumberFormat="1" applyBorder="1" applyAlignment="1" applyProtection="1">
      <alignment horizontal="center" vertical="center"/>
      <protection locked="0"/>
    </xf>
    <xf numFmtId="1" fontId="0" fillId="0" borderId="0" xfId="0" applyNumberFormat="1" applyAlignment="1" applyProtection="1">
      <alignment horizontal="center" vertical="center"/>
      <protection locked="0"/>
    </xf>
    <xf numFmtId="2" fontId="0" fillId="0" borderId="0" xfId="0" applyNumberFormat="1"/>
    <xf numFmtId="0" fontId="0" fillId="0" borderId="1" xfId="0" quotePrefix="1" applyBorder="1" applyAlignment="1" applyProtection="1">
      <alignment horizontal="left" vertical="center" wrapText="1"/>
      <protection locked="0"/>
    </xf>
  </cellXfs>
  <cellStyles count="3">
    <cellStyle name="Lien hypertexte" xfId="1" builtinId="8" hidden="1"/>
    <cellStyle name="Lien hypertexte visité" xfId="2" builtinId="9" hidden="1"/>
    <cellStyle name="Normal" xfId="0" builtinId="0"/>
  </cellStyles>
  <dxfs count="2">
    <dxf>
      <numFmt numFmtId="2" formatCode="0.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47625</xdr:colOff>
          <xdr:row>0</xdr:row>
          <xdr:rowOff>28575</xdr:rowOff>
        </xdr:from>
        <xdr:to>
          <xdr:col>5</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52.625243634262" createdVersion="4" refreshedVersion="6" minRefreshableVersion="3" recordCount="55">
  <cacheSource type="worksheet">
    <worksheetSource ref="A1:E56" sheet="Journal"/>
  </cacheSource>
  <cacheFields count="5">
    <cacheField name="Jour" numFmtId="164">
      <sharedItems containsSemiMixedTypes="0" containsNonDate="0" containsDate="1" containsString="0" minDate="2018-01-01T00:00:00" maxDate="2018-06-02T00:00:00" count="39">
        <d v="2018-06-01T00:00:00"/>
        <d v="2018-05-31T00:00:00"/>
        <d v="2018-05-30T00:00:00"/>
        <d v="2018-05-29T00:00:00"/>
        <d v="2018-05-25T00:00:00"/>
        <d v="2018-05-24T00:00:00"/>
        <d v="2018-05-23T00:00:00"/>
        <d v="2018-05-22T00:00:00"/>
        <d v="2018-05-18T00:00:00"/>
        <d v="2018-05-17T00:00:00"/>
        <d v="2018-05-16T00:00:00"/>
        <d v="2018-05-15T00:00:00"/>
        <d v="2018-05-09T00:00:00"/>
        <d v="2018-05-08T00:00:00"/>
        <d v="2018-02-09T00:00:00" u="1"/>
        <d v="2018-02-02T00:00:00" u="1"/>
        <d v="2018-04-17T00:00:00" u="1"/>
        <d v="2018-02-12T00:00:00" u="1"/>
        <d v="2018-03-29T00:00:00" u="1"/>
        <d v="2018-03-22T00:00:00" u="1"/>
        <d v="2018-03-15T00:00:00" u="1"/>
        <d v="2018-03-08T00:00:00" u="1"/>
        <d v="2018-03-27T00:00:00" u="1"/>
        <d v="2018-03-01T00:00:00" u="1"/>
        <d v="2018-02-15T00:00:00" u="1"/>
        <d v="2018-03-20T00:00:00" u="1"/>
        <d v="2018-02-08T00:00:00" u="1"/>
        <d v="2018-03-13T00:00:00" u="1"/>
        <d v="2018-02-27T00:00:00" u="1"/>
        <d v="2018-02-01T00:00:00" u="1"/>
        <d v="2018-03-06T00:00:00" u="1"/>
        <d v="2018-02-13T00:00:00" u="1"/>
        <d v="2018-01-01T00:00:00" u="1"/>
        <d v="2018-02-06T00:00:00" u="1"/>
        <d v="2018-03-23T00:00:00" u="1"/>
        <d v="2018-03-16T00:00:00" u="1"/>
        <d v="2018-03-09T00:00:00" u="1"/>
        <d v="2018-03-02T00:00:00" u="1"/>
        <d v="2018-02-16T00:00:00" u="1"/>
      </sharedItems>
    </cacheField>
    <cacheField name="Semaine" numFmtId="1">
      <sharedItems containsSemiMixedTypes="0" containsString="0" containsNumber="1" containsInteger="1" minValue="19" maxValue="22"/>
    </cacheField>
    <cacheField name="Temps [1/4h]" numFmtId="1">
      <sharedItems containsSemiMixedTypes="0" containsString="0" containsNumber="1" containsInteger="1" minValue="0" maxValue="21"/>
    </cacheField>
    <cacheField name="Temps [h]" numFmtId="2">
      <sharedItems containsSemiMixedTypes="0" containsString="0" containsNumber="1" minValue="0" maxValue="5.25"/>
    </cacheField>
    <cacheField name="Type" numFmtId="0">
      <sharedItems count="8">
        <s v="Implémentation"/>
        <s v="Autre"/>
        <s v="Conception"/>
        <s v="Entretient"/>
        <s v="Documentation"/>
        <s v="Absence"/>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5">
  <r>
    <x v="0"/>
    <n v="22"/>
    <n v="6"/>
    <n v="1.5"/>
    <x v="0"/>
  </r>
  <r>
    <x v="0"/>
    <n v="22"/>
    <n v="3"/>
    <n v="0.75"/>
    <x v="1"/>
  </r>
  <r>
    <x v="0"/>
    <n v="22"/>
    <n v="3"/>
    <n v="0.75"/>
    <x v="2"/>
  </r>
  <r>
    <x v="0"/>
    <n v="22"/>
    <n v="9"/>
    <n v="2.25"/>
    <x v="0"/>
  </r>
  <r>
    <x v="1"/>
    <n v="22"/>
    <n v="1"/>
    <n v="0.25"/>
    <x v="3"/>
  </r>
  <r>
    <x v="1"/>
    <n v="22"/>
    <n v="3"/>
    <n v="0.75"/>
    <x v="1"/>
  </r>
  <r>
    <x v="1"/>
    <n v="22"/>
    <n v="2"/>
    <n v="0.5"/>
    <x v="4"/>
  </r>
  <r>
    <x v="1"/>
    <n v="22"/>
    <n v="21"/>
    <n v="5.25"/>
    <x v="0"/>
  </r>
  <r>
    <x v="2"/>
    <n v="22"/>
    <n v="12"/>
    <n v="3"/>
    <x v="5"/>
  </r>
  <r>
    <x v="2"/>
    <n v="22"/>
    <n v="1"/>
    <n v="0.25"/>
    <x v="4"/>
  </r>
  <r>
    <x v="2"/>
    <n v="22"/>
    <n v="8"/>
    <n v="2"/>
    <x v="0"/>
  </r>
  <r>
    <x v="2"/>
    <n v="22"/>
    <n v="6"/>
    <n v="1.5"/>
    <x v="0"/>
  </r>
  <r>
    <x v="3"/>
    <n v="22"/>
    <n v="2"/>
    <n v="0.5"/>
    <x v="1"/>
  </r>
  <r>
    <x v="3"/>
    <n v="22"/>
    <n v="13"/>
    <n v="3.25"/>
    <x v="0"/>
  </r>
  <r>
    <x v="4"/>
    <n v="21"/>
    <n v="2"/>
    <n v="0.5"/>
    <x v="4"/>
  </r>
  <r>
    <x v="4"/>
    <n v="21"/>
    <n v="4"/>
    <n v="1"/>
    <x v="0"/>
  </r>
  <r>
    <x v="4"/>
    <n v="21"/>
    <n v="9"/>
    <n v="2.25"/>
    <x v="0"/>
  </r>
  <r>
    <x v="4"/>
    <n v="21"/>
    <n v="6"/>
    <n v="1.5"/>
    <x v="2"/>
  </r>
  <r>
    <x v="5"/>
    <n v="21"/>
    <n v="6"/>
    <n v="1.5"/>
    <x v="2"/>
  </r>
  <r>
    <x v="5"/>
    <n v="21"/>
    <n v="12"/>
    <n v="3"/>
    <x v="2"/>
  </r>
  <r>
    <x v="5"/>
    <n v="21"/>
    <n v="9"/>
    <n v="2.25"/>
    <x v="4"/>
  </r>
  <r>
    <x v="6"/>
    <n v="21"/>
    <n v="2"/>
    <n v="0.5"/>
    <x v="4"/>
  </r>
  <r>
    <x v="6"/>
    <n v="21"/>
    <n v="4"/>
    <n v="1"/>
    <x v="3"/>
  </r>
  <r>
    <x v="6"/>
    <n v="21"/>
    <n v="6"/>
    <n v="1.5"/>
    <x v="2"/>
  </r>
  <r>
    <x v="6"/>
    <n v="21"/>
    <n v="10"/>
    <n v="2.5"/>
    <x v="2"/>
  </r>
  <r>
    <x v="6"/>
    <n v="21"/>
    <n v="3"/>
    <n v="0.75"/>
    <x v="1"/>
  </r>
  <r>
    <x v="6"/>
    <n v="21"/>
    <n v="3"/>
    <n v="0.75"/>
    <x v="3"/>
  </r>
  <r>
    <x v="7"/>
    <n v="21"/>
    <n v="3"/>
    <n v="0.75"/>
    <x v="2"/>
  </r>
  <r>
    <x v="7"/>
    <n v="21"/>
    <n v="12"/>
    <n v="3"/>
    <x v="4"/>
  </r>
  <r>
    <x v="8"/>
    <n v="20"/>
    <n v="6"/>
    <n v="1.5"/>
    <x v="2"/>
  </r>
  <r>
    <x v="8"/>
    <n v="20"/>
    <n v="2"/>
    <n v="0.5"/>
    <x v="6"/>
  </r>
  <r>
    <x v="8"/>
    <n v="20"/>
    <n v="1"/>
    <n v="0.25"/>
    <x v="2"/>
  </r>
  <r>
    <x v="8"/>
    <n v="20"/>
    <n v="12"/>
    <n v="3"/>
    <x v="2"/>
  </r>
  <r>
    <x v="9"/>
    <n v="20"/>
    <n v="16"/>
    <n v="4"/>
    <x v="2"/>
  </r>
  <r>
    <x v="9"/>
    <n v="20"/>
    <n v="6"/>
    <n v="1.5"/>
    <x v="6"/>
  </r>
  <r>
    <x v="9"/>
    <n v="20"/>
    <n v="6"/>
    <n v="1.5"/>
    <x v="2"/>
  </r>
  <r>
    <x v="10"/>
    <n v="20"/>
    <n v="2"/>
    <n v="0.5"/>
    <x v="4"/>
  </r>
  <r>
    <x v="10"/>
    <n v="20"/>
    <n v="2"/>
    <n v="0.5"/>
    <x v="4"/>
  </r>
  <r>
    <x v="10"/>
    <n v="20"/>
    <n v="4"/>
    <n v="1"/>
    <x v="3"/>
  </r>
  <r>
    <x v="10"/>
    <n v="20"/>
    <n v="12"/>
    <n v="3"/>
    <x v="2"/>
  </r>
  <r>
    <x v="10"/>
    <n v="20"/>
    <n v="3"/>
    <n v="0.75"/>
    <x v="4"/>
  </r>
  <r>
    <x v="11"/>
    <n v="20"/>
    <n v="8"/>
    <n v="2"/>
    <x v="2"/>
  </r>
  <r>
    <x v="11"/>
    <n v="20"/>
    <n v="3"/>
    <n v="0.75"/>
    <x v="1"/>
  </r>
  <r>
    <x v="11"/>
    <n v="20"/>
    <n v="4"/>
    <n v="1"/>
    <x v="4"/>
  </r>
  <r>
    <x v="12"/>
    <n v="19"/>
    <n v="2"/>
    <n v="0.5"/>
    <x v="1"/>
  </r>
  <r>
    <x v="12"/>
    <n v="19"/>
    <n v="2"/>
    <n v="0.5"/>
    <x v="4"/>
  </r>
  <r>
    <x v="12"/>
    <n v="19"/>
    <n v="2"/>
    <n v="0.5"/>
    <x v="3"/>
  </r>
  <r>
    <x v="12"/>
    <n v="19"/>
    <n v="10"/>
    <n v="2.5"/>
    <x v="4"/>
  </r>
  <r>
    <x v="12"/>
    <n v="19"/>
    <n v="9"/>
    <n v="2.25"/>
    <x v="6"/>
  </r>
  <r>
    <x v="12"/>
    <n v="19"/>
    <n v="0"/>
    <n v="0"/>
    <x v="6"/>
  </r>
  <r>
    <x v="13"/>
    <n v="19"/>
    <n v="7"/>
    <n v="1.75"/>
    <x v="6"/>
  </r>
  <r>
    <x v="13"/>
    <n v="19"/>
    <n v="2"/>
    <n v="0.5"/>
    <x v="1"/>
  </r>
  <r>
    <x v="13"/>
    <n v="19"/>
    <n v="4"/>
    <n v="1"/>
    <x v="1"/>
  </r>
  <r>
    <x v="13"/>
    <n v="19"/>
    <n v="4"/>
    <n v="1"/>
    <x v="3"/>
  </r>
  <r>
    <x v="13"/>
    <n v="19"/>
    <n v="0"/>
    <n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2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I19" firstHeaderRow="1" firstDataRow="2" firstDataCol="1"/>
  <pivotFields count="5">
    <pivotField axis="axisRow" numFmtId="16" showAll="0">
      <items count="40">
        <item m="1" x="32"/>
        <item m="1" x="29"/>
        <item m="1" x="15"/>
        <item m="1" x="33"/>
        <item m="1" x="26"/>
        <item m="1" x="14"/>
        <item m="1" x="31"/>
        <item m="1" x="17"/>
        <item m="1" x="24"/>
        <item m="1" x="38"/>
        <item m="1" x="28"/>
        <item m="1" x="23"/>
        <item m="1" x="37"/>
        <item m="1" x="30"/>
        <item m="1" x="16"/>
        <item m="1" x="18"/>
        <item m="1" x="22"/>
        <item m="1" x="34"/>
        <item m="1" x="19"/>
        <item m="1" x="25"/>
        <item m="1" x="35"/>
        <item m="1" x="20"/>
        <item m="1" x="27"/>
        <item m="1" x="36"/>
        <item m="1" x="21"/>
        <item x="12"/>
        <item x="13"/>
        <item x="11"/>
        <item x="10"/>
        <item x="9"/>
        <item x="8"/>
        <item x="6"/>
        <item x="7"/>
        <item x="5"/>
        <item x="4"/>
        <item x="3"/>
        <item x="2"/>
        <item x="0"/>
        <item x="1"/>
        <item t="default"/>
      </items>
    </pivotField>
    <pivotField showAll="0"/>
    <pivotField numFmtId="1" showAll="0" defaultSubtotal="0"/>
    <pivotField dataField="1" showAll="0"/>
    <pivotField axis="axisCol" showAll="0">
      <items count="9">
        <item x="4"/>
        <item x="0"/>
        <item x="6"/>
        <item m="1" x="7"/>
        <item x="5"/>
        <item x="3"/>
        <item x="2"/>
        <item x="1"/>
        <item t="default"/>
      </items>
    </pivotField>
  </pivotFields>
  <rowFields count="1">
    <field x="0"/>
  </rowFields>
  <rowItems count="15">
    <i>
      <x v="25"/>
    </i>
    <i>
      <x v="26"/>
    </i>
    <i>
      <x v="27"/>
    </i>
    <i>
      <x v="28"/>
    </i>
    <i>
      <x v="29"/>
    </i>
    <i>
      <x v="30"/>
    </i>
    <i>
      <x v="31"/>
    </i>
    <i>
      <x v="32"/>
    </i>
    <i>
      <x v="33"/>
    </i>
    <i>
      <x v="34"/>
    </i>
    <i>
      <x v="35"/>
    </i>
    <i>
      <x v="36"/>
    </i>
    <i>
      <x v="37"/>
    </i>
    <i>
      <x v="38"/>
    </i>
    <i t="grand">
      <x/>
    </i>
  </rowItems>
  <colFields count="1">
    <field x="4"/>
  </colFields>
  <colItems count="8">
    <i>
      <x/>
    </i>
    <i>
      <x v="1"/>
    </i>
    <i>
      <x v="2"/>
    </i>
    <i>
      <x v="4"/>
    </i>
    <i>
      <x v="5"/>
    </i>
    <i>
      <x v="6"/>
    </i>
    <i>
      <x v="7"/>
    </i>
    <i t="grand">
      <x/>
    </i>
  </colItems>
  <dataFields count="1">
    <dataField name="Somme de Temps [h]" fld="3" baseField="0" baseItem="0" numFmtId="2"/>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J56"/>
  <sheetViews>
    <sheetView tabSelected="1" zoomScaleNormal="100" workbookViewId="0">
      <selection activeCell="A6" sqref="A6"/>
    </sheetView>
  </sheetViews>
  <sheetFormatPr baseColWidth="10" defaultColWidth="9.140625" defaultRowHeight="15" x14ac:dyDescent="0.25"/>
  <cols>
    <col min="1" max="1" width="28" style="18" customWidth="1"/>
    <col min="2" max="2" width="8.140625" style="15" bestFit="1" customWidth="1"/>
    <col min="3" max="3" width="13.7109375" style="24" customWidth="1"/>
    <col min="4" max="4" width="13.7109375" style="21" customWidth="1"/>
    <col min="5" max="5" width="16" style="6" customWidth="1"/>
    <col min="6" max="6" width="84.85546875" style="12" bestFit="1" customWidth="1"/>
    <col min="7" max="7" width="75.140625" style="12" customWidth="1"/>
    <col min="8" max="16384" width="9.140625" style="8"/>
  </cols>
  <sheetData>
    <row r="1" spans="1:10" ht="24" customHeight="1" x14ac:dyDescent="0.25">
      <c r="A1" s="16" t="s">
        <v>2</v>
      </c>
      <c r="B1" s="13" t="s">
        <v>12</v>
      </c>
      <c r="C1" s="22" t="s">
        <v>14</v>
      </c>
      <c r="D1" s="19" t="s">
        <v>3</v>
      </c>
      <c r="E1" s="5" t="s">
        <v>4</v>
      </c>
      <c r="F1" s="7" t="s">
        <v>0</v>
      </c>
      <c r="G1" s="7" t="s">
        <v>1</v>
      </c>
    </row>
    <row r="2" spans="1:10" x14ac:dyDescent="0.25">
      <c r="A2" s="17">
        <v>43252</v>
      </c>
      <c r="B2" s="14">
        <f>WEEKNUM(A2)</f>
        <v>22</v>
      </c>
      <c r="C2" s="23">
        <v>6</v>
      </c>
      <c r="D2" s="20">
        <f>C2/4</f>
        <v>1.5</v>
      </c>
      <c r="E2" s="9" t="s">
        <v>7</v>
      </c>
      <c r="F2" s="10" t="s">
        <v>87</v>
      </c>
      <c r="G2" s="26"/>
      <c r="J2" s="11"/>
    </row>
    <row r="3" spans="1:10" x14ac:dyDescent="0.25">
      <c r="A3" s="17">
        <v>43252</v>
      </c>
      <c r="B3" s="14">
        <f>WEEKNUM(A3)</f>
        <v>22</v>
      </c>
      <c r="C3" s="23">
        <v>3</v>
      </c>
      <c r="D3" s="20">
        <f>C3/4</f>
        <v>0.75</v>
      </c>
      <c r="E3" s="9" t="s">
        <v>33</v>
      </c>
      <c r="F3" s="10" t="s">
        <v>86</v>
      </c>
      <c r="G3" s="26"/>
      <c r="J3" s="11"/>
    </row>
    <row r="4" spans="1:10" x14ac:dyDescent="0.25">
      <c r="A4" s="17">
        <v>43252</v>
      </c>
      <c r="B4" s="14">
        <f>WEEKNUM(A4)</f>
        <v>22</v>
      </c>
      <c r="C4" s="23">
        <v>3</v>
      </c>
      <c r="D4" s="20">
        <f>C4/4</f>
        <v>0.75</v>
      </c>
      <c r="E4" s="9" t="s">
        <v>15</v>
      </c>
      <c r="F4" s="10" t="s">
        <v>85</v>
      </c>
      <c r="G4" s="26"/>
      <c r="J4" s="11"/>
    </row>
    <row r="5" spans="1:10" ht="30" x14ac:dyDescent="0.25">
      <c r="A5" s="17">
        <v>43252</v>
      </c>
      <c r="B5" s="14">
        <f>WEEKNUM(A5)</f>
        <v>22</v>
      </c>
      <c r="C5" s="23">
        <v>9</v>
      </c>
      <c r="D5" s="20">
        <f>C5/4</f>
        <v>2.25</v>
      </c>
      <c r="E5" s="9" t="s">
        <v>7</v>
      </c>
      <c r="F5" s="10" t="s">
        <v>83</v>
      </c>
      <c r="G5" s="26" t="s">
        <v>84</v>
      </c>
      <c r="J5" s="11"/>
    </row>
    <row r="6" spans="1:10" ht="30" x14ac:dyDescent="0.25">
      <c r="A6" s="17">
        <v>43251</v>
      </c>
      <c r="B6" s="14">
        <f>WEEKNUM(A6)</f>
        <v>22</v>
      </c>
      <c r="C6" s="23">
        <v>1</v>
      </c>
      <c r="D6" s="20">
        <f>C6/4</f>
        <v>0.25</v>
      </c>
      <c r="E6" s="9" t="s">
        <v>16</v>
      </c>
      <c r="F6" s="10" t="s">
        <v>81</v>
      </c>
      <c r="G6" s="26"/>
      <c r="J6" s="11"/>
    </row>
    <row r="7" spans="1:10" x14ac:dyDescent="0.25">
      <c r="A7" s="17">
        <v>43251</v>
      </c>
      <c r="B7" s="14">
        <f>WEEKNUM(A7)</f>
        <v>22</v>
      </c>
      <c r="C7" s="23">
        <v>3</v>
      </c>
      <c r="D7" s="20">
        <f>C7/4</f>
        <v>0.75</v>
      </c>
      <c r="E7" s="9" t="s">
        <v>33</v>
      </c>
      <c r="F7" s="10" t="s">
        <v>82</v>
      </c>
      <c r="G7" s="26"/>
      <c r="J7" s="11"/>
    </row>
    <row r="8" spans="1:10" ht="30" x14ac:dyDescent="0.25">
      <c r="A8" s="17">
        <v>43251</v>
      </c>
      <c r="B8" s="14">
        <f>WEEKNUM(A8)</f>
        <v>22</v>
      </c>
      <c r="C8" s="23">
        <v>2</v>
      </c>
      <c r="D8" s="20">
        <f>C8/4</f>
        <v>0.5</v>
      </c>
      <c r="E8" s="9" t="s">
        <v>9</v>
      </c>
      <c r="F8" s="10" t="s">
        <v>80</v>
      </c>
      <c r="G8" s="26"/>
      <c r="J8" s="11"/>
    </row>
    <row r="9" spans="1:10" x14ac:dyDescent="0.25">
      <c r="A9" s="17">
        <v>43251</v>
      </c>
      <c r="B9" s="14">
        <f>WEEKNUM(A9)</f>
        <v>22</v>
      </c>
      <c r="C9" s="23">
        <v>21</v>
      </c>
      <c r="D9" s="20">
        <f>C9/4</f>
        <v>5.25</v>
      </c>
      <c r="E9" s="9" t="s">
        <v>7</v>
      </c>
      <c r="F9" s="10" t="s">
        <v>78</v>
      </c>
      <c r="G9" s="26" t="s">
        <v>79</v>
      </c>
      <c r="J9" s="11"/>
    </row>
    <row r="10" spans="1:10" ht="30" x14ac:dyDescent="0.25">
      <c r="A10" s="17">
        <v>43250</v>
      </c>
      <c r="B10" s="14">
        <f>WEEKNUM(A10)</f>
        <v>22</v>
      </c>
      <c r="C10" s="23">
        <v>12</v>
      </c>
      <c r="D10" s="20">
        <f>C10/4</f>
        <v>3</v>
      </c>
      <c r="E10" s="9" t="s">
        <v>10</v>
      </c>
      <c r="F10" s="10" t="s">
        <v>88</v>
      </c>
      <c r="G10" s="26"/>
      <c r="J10" s="11"/>
    </row>
    <row r="11" spans="1:10" x14ac:dyDescent="0.25">
      <c r="A11" s="17">
        <v>43250</v>
      </c>
      <c r="B11" s="14">
        <f>WEEKNUM(A11)</f>
        <v>22</v>
      </c>
      <c r="C11" s="23">
        <v>1</v>
      </c>
      <c r="D11" s="20">
        <f>C11/4</f>
        <v>0.25</v>
      </c>
      <c r="E11" s="9" t="s">
        <v>9</v>
      </c>
      <c r="F11" s="10" t="s">
        <v>77</v>
      </c>
      <c r="G11" s="26"/>
      <c r="J11" s="11"/>
    </row>
    <row r="12" spans="1:10" x14ac:dyDescent="0.25">
      <c r="A12" s="17">
        <v>43250</v>
      </c>
      <c r="B12" s="14">
        <f>WEEKNUM(A12)</f>
        <v>22</v>
      </c>
      <c r="C12" s="23">
        <v>8</v>
      </c>
      <c r="D12" s="20">
        <f>C12/4</f>
        <v>2</v>
      </c>
      <c r="E12" s="9" t="s">
        <v>7</v>
      </c>
      <c r="F12" s="10" t="s">
        <v>76</v>
      </c>
      <c r="G12" s="26"/>
      <c r="J12" s="11"/>
    </row>
    <row r="13" spans="1:10" x14ac:dyDescent="0.25">
      <c r="A13" s="17">
        <v>43250</v>
      </c>
      <c r="B13" s="14">
        <f>WEEKNUM(A13)</f>
        <v>22</v>
      </c>
      <c r="C13" s="23">
        <v>6</v>
      </c>
      <c r="D13" s="20">
        <f>C13/4</f>
        <v>1.5</v>
      </c>
      <c r="E13" s="9" t="s">
        <v>7</v>
      </c>
      <c r="F13" s="10" t="s">
        <v>75</v>
      </c>
      <c r="G13" s="26"/>
      <c r="J13" s="11"/>
    </row>
    <row r="14" spans="1:10" x14ac:dyDescent="0.25">
      <c r="A14" s="17">
        <v>43249</v>
      </c>
      <c r="B14" s="14">
        <f>WEEKNUM(A14)</f>
        <v>22</v>
      </c>
      <c r="C14" s="23">
        <v>2</v>
      </c>
      <c r="D14" s="20">
        <f>C14/4</f>
        <v>0.5</v>
      </c>
      <c r="E14" s="9" t="s">
        <v>33</v>
      </c>
      <c r="F14" s="10" t="s">
        <v>74</v>
      </c>
      <c r="G14" s="26"/>
      <c r="J14" s="11"/>
    </row>
    <row r="15" spans="1:10" x14ac:dyDescent="0.25">
      <c r="A15" s="17">
        <v>43249</v>
      </c>
      <c r="B15" s="14">
        <f>WEEKNUM(A15)</f>
        <v>22</v>
      </c>
      <c r="C15" s="23">
        <v>13</v>
      </c>
      <c r="D15" s="20">
        <f>C15/4</f>
        <v>3.25</v>
      </c>
      <c r="E15" s="9" t="s">
        <v>7</v>
      </c>
      <c r="F15" s="10" t="s">
        <v>73</v>
      </c>
      <c r="G15" s="26"/>
      <c r="J15" s="11"/>
    </row>
    <row r="16" spans="1:10" x14ac:dyDescent="0.25">
      <c r="A16" s="17">
        <v>43245</v>
      </c>
      <c r="B16" s="14">
        <f>WEEKNUM(A16)</f>
        <v>21</v>
      </c>
      <c r="C16" s="23">
        <v>2</v>
      </c>
      <c r="D16" s="20">
        <f>C16/4</f>
        <v>0.5</v>
      </c>
      <c r="E16" s="9" t="s">
        <v>9</v>
      </c>
      <c r="F16" s="10" t="s">
        <v>71</v>
      </c>
      <c r="G16" s="26" t="s">
        <v>72</v>
      </c>
      <c r="J16" s="11"/>
    </row>
    <row r="17" spans="1:10" ht="30" x14ac:dyDescent="0.25">
      <c r="A17" s="17">
        <v>43245</v>
      </c>
      <c r="B17" s="14">
        <f>WEEKNUM(A17)</f>
        <v>21</v>
      </c>
      <c r="C17" s="23">
        <v>4</v>
      </c>
      <c r="D17" s="20">
        <f>C17/4</f>
        <v>1</v>
      </c>
      <c r="E17" s="9" t="s">
        <v>7</v>
      </c>
      <c r="F17" s="10" t="s">
        <v>69</v>
      </c>
      <c r="G17" s="26" t="s">
        <v>70</v>
      </c>
      <c r="J17" s="11"/>
    </row>
    <row r="18" spans="1:10" ht="45" x14ac:dyDescent="0.25">
      <c r="A18" s="17">
        <v>43245</v>
      </c>
      <c r="B18" s="14">
        <f>WEEKNUM(A18)</f>
        <v>21</v>
      </c>
      <c r="C18" s="23">
        <v>9</v>
      </c>
      <c r="D18" s="20">
        <f>C18/4</f>
        <v>2.25</v>
      </c>
      <c r="E18" s="9" t="s">
        <v>7</v>
      </c>
      <c r="F18" s="10" t="s">
        <v>68</v>
      </c>
      <c r="G18" s="26"/>
      <c r="J18" s="11"/>
    </row>
    <row r="19" spans="1:10" ht="30" x14ac:dyDescent="0.25">
      <c r="A19" s="17">
        <v>43245</v>
      </c>
      <c r="B19" s="14">
        <f>WEEKNUM(A19)</f>
        <v>21</v>
      </c>
      <c r="C19" s="23">
        <v>6</v>
      </c>
      <c r="D19" s="20">
        <f>C19/4</f>
        <v>1.5</v>
      </c>
      <c r="E19" s="9" t="s">
        <v>15</v>
      </c>
      <c r="F19" s="10" t="s">
        <v>67</v>
      </c>
      <c r="G19" s="26"/>
      <c r="J19" s="11"/>
    </row>
    <row r="20" spans="1:10" x14ac:dyDescent="0.25">
      <c r="A20" s="17">
        <v>43244</v>
      </c>
      <c r="B20" s="14">
        <f>WEEKNUM(A20)</f>
        <v>21</v>
      </c>
      <c r="C20" s="23">
        <v>6</v>
      </c>
      <c r="D20" s="20">
        <f>C20/4</f>
        <v>1.5</v>
      </c>
      <c r="E20" s="9" t="s">
        <v>15</v>
      </c>
      <c r="F20" s="10" t="s">
        <v>66</v>
      </c>
      <c r="G20" s="26"/>
      <c r="J20" s="11"/>
    </row>
    <row r="21" spans="1:10" ht="30" x14ac:dyDescent="0.25">
      <c r="A21" s="17">
        <v>43244</v>
      </c>
      <c r="B21" s="14">
        <f>WEEKNUM(A21)</f>
        <v>21</v>
      </c>
      <c r="C21" s="23">
        <v>12</v>
      </c>
      <c r="D21" s="20">
        <f>C21/4</f>
        <v>3</v>
      </c>
      <c r="E21" s="9" t="s">
        <v>15</v>
      </c>
      <c r="F21" s="10" t="s">
        <v>65</v>
      </c>
      <c r="G21" s="26"/>
      <c r="J21" s="11"/>
    </row>
    <row r="22" spans="1:10" ht="45" x14ac:dyDescent="0.25">
      <c r="A22" s="17">
        <v>43244</v>
      </c>
      <c r="B22" s="14">
        <f>WEEKNUM(A22)</f>
        <v>21</v>
      </c>
      <c r="C22" s="23">
        <v>9</v>
      </c>
      <c r="D22" s="20">
        <f>C22/4</f>
        <v>2.25</v>
      </c>
      <c r="E22" s="9" t="s">
        <v>9</v>
      </c>
      <c r="F22" s="10" t="s">
        <v>63</v>
      </c>
      <c r="G22" s="26" t="s">
        <v>64</v>
      </c>
      <c r="J22" s="11"/>
    </row>
    <row r="23" spans="1:10" x14ac:dyDescent="0.25">
      <c r="A23" s="17">
        <v>43243</v>
      </c>
      <c r="B23" s="14">
        <f>WEEKNUM(A23)</f>
        <v>21</v>
      </c>
      <c r="C23" s="23">
        <v>2</v>
      </c>
      <c r="D23" s="20">
        <f>C23/4</f>
        <v>0.5</v>
      </c>
      <c r="E23" s="9" t="s">
        <v>9</v>
      </c>
      <c r="F23" s="10" t="s">
        <v>62</v>
      </c>
      <c r="G23" s="26"/>
      <c r="J23" s="11"/>
    </row>
    <row r="24" spans="1:10" ht="30" x14ac:dyDescent="0.25">
      <c r="A24" s="17">
        <v>43243</v>
      </c>
      <c r="B24" s="14">
        <f>WEEKNUM(A24)</f>
        <v>21</v>
      </c>
      <c r="C24" s="23">
        <v>4</v>
      </c>
      <c r="D24" s="20">
        <f>C24/4</f>
        <v>1</v>
      </c>
      <c r="E24" s="9" t="s">
        <v>16</v>
      </c>
      <c r="F24" s="10" t="s">
        <v>60</v>
      </c>
      <c r="G24" s="26" t="s">
        <v>61</v>
      </c>
      <c r="J24" s="11"/>
    </row>
    <row r="25" spans="1:10" ht="30" x14ac:dyDescent="0.25">
      <c r="A25" s="17">
        <v>43243</v>
      </c>
      <c r="B25" s="14">
        <f>WEEKNUM(A25)</f>
        <v>21</v>
      </c>
      <c r="C25" s="23">
        <v>6</v>
      </c>
      <c r="D25" s="20">
        <f>C25/4</f>
        <v>1.5</v>
      </c>
      <c r="E25" s="9" t="s">
        <v>15</v>
      </c>
      <c r="F25" s="10" t="s">
        <v>58</v>
      </c>
      <c r="G25" s="26" t="s">
        <v>59</v>
      </c>
      <c r="J25" s="11"/>
    </row>
    <row r="26" spans="1:10" x14ac:dyDescent="0.25">
      <c r="A26" s="17">
        <v>43243</v>
      </c>
      <c r="B26" s="14">
        <f>WEEKNUM(A26)</f>
        <v>21</v>
      </c>
      <c r="C26" s="23">
        <v>10</v>
      </c>
      <c r="D26" s="20">
        <f>C26/4</f>
        <v>2.5</v>
      </c>
      <c r="E26" s="9" t="s">
        <v>15</v>
      </c>
      <c r="F26" s="10" t="s">
        <v>57</v>
      </c>
      <c r="G26" s="26"/>
      <c r="J26" s="11"/>
    </row>
    <row r="27" spans="1:10" x14ac:dyDescent="0.25">
      <c r="A27" s="17">
        <v>43243</v>
      </c>
      <c r="B27" s="14">
        <f>WEEKNUM(A27)</f>
        <v>21</v>
      </c>
      <c r="C27" s="23">
        <v>3</v>
      </c>
      <c r="D27" s="20">
        <f>C27/4</f>
        <v>0.75</v>
      </c>
      <c r="E27" s="9" t="s">
        <v>33</v>
      </c>
      <c r="F27" s="10" t="s">
        <v>55</v>
      </c>
      <c r="G27" s="26" t="s">
        <v>56</v>
      </c>
      <c r="J27" s="11"/>
    </row>
    <row r="28" spans="1:10" ht="60" x14ac:dyDescent="0.25">
      <c r="A28" s="17">
        <v>43243</v>
      </c>
      <c r="B28" s="14">
        <f>WEEKNUM(A28)</f>
        <v>21</v>
      </c>
      <c r="C28" s="23">
        <v>3</v>
      </c>
      <c r="D28" s="20">
        <f>C28/4</f>
        <v>0.75</v>
      </c>
      <c r="E28" s="9" t="s">
        <v>16</v>
      </c>
      <c r="F28" s="10" t="s">
        <v>53</v>
      </c>
      <c r="G28" s="26" t="s">
        <v>54</v>
      </c>
      <c r="J28" s="11"/>
    </row>
    <row r="29" spans="1:10" x14ac:dyDescent="0.25">
      <c r="A29" s="17">
        <v>43242</v>
      </c>
      <c r="B29" s="14">
        <f>WEEKNUM(A29)</f>
        <v>21</v>
      </c>
      <c r="C29" s="23">
        <v>3</v>
      </c>
      <c r="D29" s="20">
        <f>C29/4</f>
        <v>0.75</v>
      </c>
      <c r="E29" s="9" t="s">
        <v>15</v>
      </c>
      <c r="F29" s="10" t="s">
        <v>52</v>
      </c>
      <c r="G29" s="26"/>
      <c r="J29" s="11"/>
    </row>
    <row r="30" spans="1:10" ht="30" x14ac:dyDescent="0.25">
      <c r="A30" s="17">
        <v>43242</v>
      </c>
      <c r="B30" s="14">
        <f>WEEKNUM(A30)</f>
        <v>21</v>
      </c>
      <c r="C30" s="23">
        <v>12</v>
      </c>
      <c r="D30" s="20">
        <f>C30/4</f>
        <v>3</v>
      </c>
      <c r="E30" s="9" t="s">
        <v>9</v>
      </c>
      <c r="F30" s="10" t="s">
        <v>51</v>
      </c>
      <c r="G30" s="26"/>
      <c r="J30" s="11"/>
    </row>
    <row r="31" spans="1:10" x14ac:dyDescent="0.25">
      <c r="A31" s="17">
        <v>43238</v>
      </c>
      <c r="B31" s="14">
        <f>WEEKNUM(A31)</f>
        <v>20</v>
      </c>
      <c r="C31" s="23">
        <v>6</v>
      </c>
      <c r="D31" s="20">
        <f>C31/4</f>
        <v>1.5</v>
      </c>
      <c r="E31" s="9" t="s">
        <v>15</v>
      </c>
      <c r="F31" s="10" t="s">
        <v>49</v>
      </c>
      <c r="G31" s="26" t="s">
        <v>50</v>
      </c>
      <c r="J31" s="11"/>
    </row>
    <row r="32" spans="1:10" x14ac:dyDescent="0.25">
      <c r="A32" s="17">
        <v>43238</v>
      </c>
      <c r="B32" s="14">
        <f>WEEKNUM(A32)</f>
        <v>20</v>
      </c>
      <c r="C32" s="23">
        <v>2</v>
      </c>
      <c r="D32" s="20">
        <f>C32/4</f>
        <v>0.5</v>
      </c>
      <c r="E32" s="9" t="s">
        <v>6</v>
      </c>
      <c r="F32" s="10" t="s">
        <v>48</v>
      </c>
      <c r="G32" s="26"/>
      <c r="J32" s="11"/>
    </row>
    <row r="33" spans="1:10" x14ac:dyDescent="0.25">
      <c r="A33" s="17">
        <v>43238</v>
      </c>
      <c r="B33" s="14">
        <f>WEEKNUM(A33)</f>
        <v>20</v>
      </c>
      <c r="C33" s="23">
        <v>1</v>
      </c>
      <c r="D33" s="20">
        <f>C33/4</f>
        <v>0.25</v>
      </c>
      <c r="E33" s="9" t="s">
        <v>15</v>
      </c>
      <c r="F33" s="10" t="s">
        <v>47</v>
      </c>
      <c r="G33" s="26"/>
      <c r="J33" s="11"/>
    </row>
    <row r="34" spans="1:10" x14ac:dyDescent="0.25">
      <c r="A34" s="17">
        <v>43238</v>
      </c>
      <c r="B34" s="14">
        <f>WEEKNUM(A34)</f>
        <v>20</v>
      </c>
      <c r="C34" s="23">
        <v>12</v>
      </c>
      <c r="D34" s="20">
        <f>C34/4</f>
        <v>3</v>
      </c>
      <c r="E34" s="9" t="s">
        <v>15</v>
      </c>
      <c r="F34" s="10" t="s">
        <v>46</v>
      </c>
      <c r="G34" s="26"/>
      <c r="J34" s="11"/>
    </row>
    <row r="35" spans="1:10" x14ac:dyDescent="0.25">
      <c r="A35" s="17">
        <v>43237</v>
      </c>
      <c r="B35" s="14">
        <f>WEEKNUM(A35)</f>
        <v>20</v>
      </c>
      <c r="C35" s="23">
        <v>16</v>
      </c>
      <c r="D35" s="20">
        <f>C35/4</f>
        <v>4</v>
      </c>
      <c r="E35" s="9" t="s">
        <v>15</v>
      </c>
      <c r="F35" s="10" t="s">
        <v>46</v>
      </c>
      <c r="G35" s="26"/>
      <c r="J35" s="11"/>
    </row>
    <row r="36" spans="1:10" ht="30" x14ac:dyDescent="0.25">
      <c r="A36" s="17">
        <v>43237</v>
      </c>
      <c r="B36" s="14">
        <f>WEEKNUM(A36)</f>
        <v>20</v>
      </c>
      <c r="C36" s="23">
        <v>6</v>
      </c>
      <c r="D36" s="20">
        <f>C36/4</f>
        <v>1.5</v>
      </c>
      <c r="E36" s="9" t="s">
        <v>6</v>
      </c>
      <c r="F36" s="10" t="s">
        <v>44</v>
      </c>
      <c r="G36" s="26" t="s">
        <v>45</v>
      </c>
      <c r="J36" s="11"/>
    </row>
    <row r="37" spans="1:10" ht="30" x14ac:dyDescent="0.25">
      <c r="A37" s="17">
        <v>43237</v>
      </c>
      <c r="B37" s="14">
        <f>WEEKNUM(A37)</f>
        <v>20</v>
      </c>
      <c r="C37" s="23">
        <v>6</v>
      </c>
      <c r="D37" s="20">
        <f>C37/4</f>
        <v>1.5</v>
      </c>
      <c r="E37" s="9" t="s">
        <v>15</v>
      </c>
      <c r="F37" s="10" t="s">
        <v>43</v>
      </c>
      <c r="G37" s="26"/>
      <c r="J37" s="11"/>
    </row>
    <row r="38" spans="1:10" x14ac:dyDescent="0.25">
      <c r="A38" s="17">
        <v>43236</v>
      </c>
      <c r="B38" s="14">
        <f>WEEKNUM(A38)</f>
        <v>20</v>
      </c>
      <c r="C38" s="23">
        <v>2</v>
      </c>
      <c r="D38" s="20">
        <f>C38/4</f>
        <v>0.5</v>
      </c>
      <c r="E38" s="9" t="s">
        <v>9</v>
      </c>
      <c r="F38" s="10" t="s">
        <v>42</v>
      </c>
      <c r="G38" s="26"/>
      <c r="J38" s="11"/>
    </row>
    <row r="39" spans="1:10" x14ac:dyDescent="0.25">
      <c r="A39" s="17">
        <v>43236</v>
      </c>
      <c r="B39" s="14">
        <f>WEEKNUM(A39)</f>
        <v>20</v>
      </c>
      <c r="C39" s="23">
        <v>2</v>
      </c>
      <c r="D39" s="20">
        <f>C39/4</f>
        <v>0.5</v>
      </c>
      <c r="E39" s="9" t="s">
        <v>9</v>
      </c>
      <c r="F39" s="10" t="s">
        <v>41</v>
      </c>
      <c r="G39" s="26"/>
      <c r="J39" s="11"/>
    </row>
    <row r="40" spans="1:10" ht="45" x14ac:dyDescent="0.25">
      <c r="A40" s="17">
        <v>43236</v>
      </c>
      <c r="B40" s="14">
        <f>WEEKNUM(A40)</f>
        <v>20</v>
      </c>
      <c r="C40" s="23">
        <v>4</v>
      </c>
      <c r="D40" s="20">
        <f>C40/4</f>
        <v>1</v>
      </c>
      <c r="E40" s="9" t="s">
        <v>16</v>
      </c>
      <c r="F40" s="10" t="s">
        <v>40</v>
      </c>
      <c r="G40" s="26"/>
      <c r="J40" s="11"/>
    </row>
    <row r="41" spans="1:10" x14ac:dyDescent="0.25">
      <c r="A41" s="17">
        <v>43236</v>
      </c>
      <c r="B41" s="14">
        <f>WEEKNUM(A41)</f>
        <v>20</v>
      </c>
      <c r="C41" s="23">
        <v>12</v>
      </c>
      <c r="D41" s="20">
        <f>C41/4</f>
        <v>3</v>
      </c>
      <c r="E41" s="9" t="s">
        <v>15</v>
      </c>
      <c r="F41" s="10" t="s">
        <v>39</v>
      </c>
      <c r="G41" s="26"/>
      <c r="J41" s="11"/>
    </row>
    <row r="42" spans="1:10" x14ac:dyDescent="0.25">
      <c r="A42" s="17">
        <v>43236</v>
      </c>
      <c r="B42" s="14">
        <f>WEEKNUM(A42)</f>
        <v>20</v>
      </c>
      <c r="C42" s="23">
        <v>3</v>
      </c>
      <c r="D42" s="20">
        <f>C42/4</f>
        <v>0.75</v>
      </c>
      <c r="E42" s="9" t="s">
        <v>9</v>
      </c>
      <c r="F42" s="10" t="s">
        <v>36</v>
      </c>
      <c r="G42" s="26"/>
      <c r="J42" s="11"/>
    </row>
    <row r="43" spans="1:10" x14ac:dyDescent="0.25">
      <c r="A43" s="17">
        <v>43235</v>
      </c>
      <c r="B43" s="14">
        <f>WEEKNUM(A43)</f>
        <v>20</v>
      </c>
      <c r="C43" s="23">
        <v>8</v>
      </c>
      <c r="D43" s="20">
        <f>C43/4</f>
        <v>2</v>
      </c>
      <c r="E43" s="9" t="s">
        <v>15</v>
      </c>
      <c r="F43" s="10" t="s">
        <v>35</v>
      </c>
      <c r="G43" s="26" t="s">
        <v>38</v>
      </c>
      <c r="J43" s="11"/>
    </row>
    <row r="44" spans="1:10" x14ac:dyDescent="0.25">
      <c r="A44" s="17">
        <v>43235</v>
      </c>
      <c r="B44" s="14">
        <f>WEEKNUM(A44)</f>
        <v>20</v>
      </c>
      <c r="C44" s="23">
        <v>3</v>
      </c>
      <c r="D44" s="20">
        <f>C44/4</f>
        <v>0.75</v>
      </c>
      <c r="E44" s="9" t="s">
        <v>33</v>
      </c>
      <c r="F44" s="10" t="s">
        <v>31</v>
      </c>
      <c r="G44" s="26" t="s">
        <v>34</v>
      </c>
      <c r="J44" s="11"/>
    </row>
    <row r="45" spans="1:10" ht="30" x14ac:dyDescent="0.25">
      <c r="A45" s="17">
        <v>43235</v>
      </c>
      <c r="B45" s="14">
        <f>WEEKNUM(A45)</f>
        <v>20</v>
      </c>
      <c r="C45" s="23">
        <v>4</v>
      </c>
      <c r="D45" s="20">
        <f>C45/4</f>
        <v>1</v>
      </c>
      <c r="E45" s="9" t="s">
        <v>9</v>
      </c>
      <c r="F45" s="10" t="s">
        <v>32</v>
      </c>
      <c r="G45" s="26" t="s">
        <v>37</v>
      </c>
      <c r="J45" s="11"/>
    </row>
    <row r="46" spans="1:10" x14ac:dyDescent="0.25">
      <c r="A46" s="17">
        <v>43229</v>
      </c>
      <c r="B46" s="14">
        <f>WEEKNUM(A46)</f>
        <v>19</v>
      </c>
      <c r="C46" s="23">
        <v>2</v>
      </c>
      <c r="D46" s="20">
        <f>C46/4</f>
        <v>0.5</v>
      </c>
      <c r="E46" s="9" t="s">
        <v>33</v>
      </c>
      <c r="F46" s="10" t="s">
        <v>31</v>
      </c>
      <c r="G46" s="26"/>
      <c r="J46" s="11"/>
    </row>
    <row r="47" spans="1:10" x14ac:dyDescent="0.25">
      <c r="A47" s="17">
        <v>43229</v>
      </c>
      <c r="B47" s="14">
        <f>WEEKNUM(A47)</f>
        <v>19</v>
      </c>
      <c r="C47" s="23">
        <v>2</v>
      </c>
      <c r="D47" s="20">
        <f>C47/4</f>
        <v>0.5</v>
      </c>
      <c r="E47" s="9" t="s">
        <v>9</v>
      </c>
      <c r="F47" s="10" t="s">
        <v>30</v>
      </c>
      <c r="G47" s="26"/>
      <c r="J47" s="11"/>
    </row>
    <row r="48" spans="1:10" ht="30" x14ac:dyDescent="0.25">
      <c r="A48" s="17">
        <v>43229</v>
      </c>
      <c r="B48" s="14">
        <f>WEEKNUM(A48)</f>
        <v>19</v>
      </c>
      <c r="C48" s="23">
        <v>2</v>
      </c>
      <c r="D48" s="20">
        <f>C48/4</f>
        <v>0.5</v>
      </c>
      <c r="E48" s="9" t="s">
        <v>16</v>
      </c>
      <c r="F48" s="10" t="s">
        <v>28</v>
      </c>
      <c r="G48" s="26" t="s">
        <v>29</v>
      </c>
      <c r="J48" s="11"/>
    </row>
    <row r="49" spans="1:10" x14ac:dyDescent="0.25">
      <c r="A49" s="17">
        <v>43229</v>
      </c>
      <c r="B49" s="14">
        <f>WEEKNUM(A49)</f>
        <v>19</v>
      </c>
      <c r="C49" s="23">
        <v>10</v>
      </c>
      <c r="D49" s="20">
        <f>C49/4</f>
        <v>2.5</v>
      </c>
      <c r="E49" s="9" t="s">
        <v>9</v>
      </c>
      <c r="F49" s="10" t="s">
        <v>27</v>
      </c>
      <c r="G49" s="26"/>
      <c r="J49" s="11"/>
    </row>
    <row r="50" spans="1:10" x14ac:dyDescent="0.25">
      <c r="A50" s="17">
        <v>43229</v>
      </c>
      <c r="B50" s="14">
        <f>WEEKNUM(A50)</f>
        <v>19</v>
      </c>
      <c r="C50" s="23">
        <v>9</v>
      </c>
      <c r="D50" s="20">
        <f>C50/4</f>
        <v>2.25</v>
      </c>
      <c r="E50" s="9" t="s">
        <v>6</v>
      </c>
      <c r="F50" s="10" t="s">
        <v>25</v>
      </c>
      <c r="G50" s="26" t="s">
        <v>26</v>
      </c>
      <c r="J50" s="11"/>
    </row>
    <row r="51" spans="1:10" ht="30" x14ac:dyDescent="0.25">
      <c r="A51" s="17">
        <v>43229</v>
      </c>
      <c r="B51" s="14">
        <f>WEEKNUM(A51)</f>
        <v>19</v>
      </c>
      <c r="C51" s="23">
        <v>0</v>
      </c>
      <c r="D51" s="20">
        <f>C51/4</f>
        <v>0</v>
      </c>
      <c r="E51" s="9" t="s">
        <v>6</v>
      </c>
      <c r="F51" s="10" t="s">
        <v>23</v>
      </c>
      <c r="G51" s="26" t="s">
        <v>24</v>
      </c>
      <c r="J51" s="11"/>
    </row>
    <row r="52" spans="1:10" x14ac:dyDescent="0.25">
      <c r="A52" s="17">
        <v>43228</v>
      </c>
      <c r="B52" s="14">
        <f>WEEKNUM(A52)</f>
        <v>19</v>
      </c>
      <c r="C52" s="23">
        <v>7</v>
      </c>
      <c r="D52" s="20">
        <f>C52/4</f>
        <v>1.75</v>
      </c>
      <c r="E52" s="9" t="s">
        <v>6</v>
      </c>
      <c r="F52" s="10" t="s">
        <v>21</v>
      </c>
      <c r="G52" s="26" t="s">
        <v>22</v>
      </c>
      <c r="J52" s="11"/>
    </row>
    <row r="53" spans="1:10" x14ac:dyDescent="0.25">
      <c r="A53" s="17">
        <v>43228</v>
      </c>
      <c r="B53" s="14">
        <f>WEEKNUM(A53)</f>
        <v>19</v>
      </c>
      <c r="C53" s="23">
        <v>2</v>
      </c>
      <c r="D53" s="20">
        <f>C53/4</f>
        <v>0.5</v>
      </c>
      <c r="E53" s="9" t="s">
        <v>33</v>
      </c>
      <c r="F53" s="10" t="s">
        <v>20</v>
      </c>
      <c r="G53" s="26"/>
      <c r="J53" s="11"/>
    </row>
    <row r="54" spans="1:10" x14ac:dyDescent="0.25">
      <c r="A54" s="17">
        <v>43228</v>
      </c>
      <c r="B54" s="14">
        <f>WEEKNUM(A54)</f>
        <v>19</v>
      </c>
      <c r="C54" s="23">
        <v>4</v>
      </c>
      <c r="D54" s="20">
        <f>C54/4</f>
        <v>1</v>
      </c>
      <c r="E54" s="9" t="s">
        <v>33</v>
      </c>
      <c r="F54" s="10" t="s">
        <v>19</v>
      </c>
      <c r="G54" s="26"/>
      <c r="J54" s="11"/>
    </row>
    <row r="55" spans="1:10" ht="30" x14ac:dyDescent="0.25">
      <c r="A55" s="17">
        <v>43228</v>
      </c>
      <c r="B55" s="14">
        <f>WEEKNUM(A55)</f>
        <v>19</v>
      </c>
      <c r="C55" s="23">
        <v>4</v>
      </c>
      <c r="D55" s="20">
        <f>C55/4</f>
        <v>1</v>
      </c>
      <c r="E55" s="9" t="s">
        <v>16</v>
      </c>
      <c r="F55" s="10" t="s">
        <v>18</v>
      </c>
      <c r="G55" s="26"/>
      <c r="J55" s="11"/>
    </row>
    <row r="56" spans="1:10" x14ac:dyDescent="0.25">
      <c r="A56" s="17">
        <v>43228</v>
      </c>
      <c r="B56" s="14">
        <f>WEEKNUM(A56)</f>
        <v>19</v>
      </c>
      <c r="C56" s="23">
        <v>0</v>
      </c>
      <c r="D56" s="20">
        <f>C56/4</f>
        <v>0</v>
      </c>
      <c r="E56" s="9" t="s">
        <v>33</v>
      </c>
      <c r="F56" s="10" t="s">
        <v>17</v>
      </c>
      <c r="G56" s="26"/>
      <c r="J56" s="11"/>
    </row>
  </sheetData>
  <sheetProtection selectLockedCells="1"/>
  <sortState ref="A2:G56">
    <sortCondition descending="1" ref="A1"/>
  </sortState>
  <printOptions horizontalCentered="1"/>
  <pageMargins left="0.70866141732283472" right="0.70866141732283472" top="0.74803149606299213" bottom="0.74803149606299213" header="0.31496062992125984" footer="0.31496062992125984"/>
  <pageSetup paperSize="9" scale="55" fitToHeight="0" orientation="landscape" r:id="rId1"/>
  <headerFooter>
    <oddHeader>&amp;LDI DOMENICO TIFFANY&amp;RJournal de bord</oddHeader>
    <oddFooter>&amp;CPage &amp;P&amp;R&amp;D</oddFooter>
  </headerFooter>
  <colBreaks count="1" manualBreakCount="1">
    <brk id="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5</xdr:col>
                    <xdr:colOff>47625</xdr:colOff>
                    <xdr:row>0</xdr:row>
                    <xdr:rowOff>28575</xdr:rowOff>
                  </from>
                  <to>
                    <xdr:col>5</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Paramètres!$A$2:$A$9</xm:f>
          </x14:formula1>
          <xm:sqref>E2:E56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I19"/>
  <sheetViews>
    <sheetView zoomScaleNormal="100" workbookViewId="0">
      <selection activeCell="A6" sqref="A6"/>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8.5703125" bestFit="1" customWidth="1"/>
    <col min="6" max="6" width="10" bestFit="1" customWidth="1"/>
    <col min="7" max="7" width="11.140625" bestFit="1" customWidth="1"/>
    <col min="8" max="8" width="6" bestFit="1" customWidth="1"/>
    <col min="9" max="9" width="12.5703125" bestFit="1" customWidth="1"/>
    <col min="10" max="10" width="17.7109375" bestFit="1" customWidth="1"/>
    <col min="11" max="11" width="13.28515625" bestFit="1" customWidth="1"/>
    <col min="12" max="12" width="22" bestFit="1" customWidth="1"/>
    <col min="13" max="13" width="17.7109375" bestFit="1" customWidth="1"/>
  </cols>
  <sheetData>
    <row r="3" spans="1:9" x14ac:dyDescent="0.25">
      <c r="A3" s="3" t="s">
        <v>13</v>
      </c>
    </row>
    <row r="4" spans="1:9" x14ac:dyDescent="0.25">
      <c r="B4" t="s">
        <v>9</v>
      </c>
      <c r="C4" t="s">
        <v>7</v>
      </c>
      <c r="D4" t="s">
        <v>6</v>
      </c>
      <c r="E4" t="s">
        <v>10</v>
      </c>
      <c r="F4" t="s">
        <v>16</v>
      </c>
      <c r="G4" t="s">
        <v>15</v>
      </c>
      <c r="H4" t="s">
        <v>33</v>
      </c>
      <c r="I4" t="s">
        <v>11</v>
      </c>
    </row>
    <row r="5" spans="1:9" x14ac:dyDescent="0.25">
      <c r="A5" s="4">
        <v>43229</v>
      </c>
      <c r="B5" s="25">
        <v>3</v>
      </c>
      <c r="C5" s="25"/>
      <c r="D5" s="25">
        <v>2.25</v>
      </c>
      <c r="E5" s="25"/>
      <c r="F5" s="25">
        <v>0.5</v>
      </c>
      <c r="G5" s="25"/>
      <c r="H5" s="25">
        <v>0.5</v>
      </c>
      <c r="I5" s="25">
        <v>6.25</v>
      </c>
    </row>
    <row r="6" spans="1:9" x14ac:dyDescent="0.25">
      <c r="A6" s="4">
        <v>43228</v>
      </c>
      <c r="B6" s="25"/>
      <c r="C6" s="25"/>
      <c r="D6" s="25">
        <v>1.75</v>
      </c>
      <c r="E6" s="25"/>
      <c r="F6" s="25">
        <v>1</v>
      </c>
      <c r="G6" s="25"/>
      <c r="H6" s="25">
        <v>1.5</v>
      </c>
      <c r="I6" s="25">
        <v>4.25</v>
      </c>
    </row>
    <row r="7" spans="1:9" x14ac:dyDescent="0.25">
      <c r="A7" s="4">
        <v>43235</v>
      </c>
      <c r="B7" s="25">
        <v>1</v>
      </c>
      <c r="C7" s="25"/>
      <c r="D7" s="25"/>
      <c r="E7" s="25"/>
      <c r="F7" s="25"/>
      <c r="G7" s="25">
        <v>2</v>
      </c>
      <c r="H7" s="25">
        <v>0.75</v>
      </c>
      <c r="I7" s="25">
        <v>3.75</v>
      </c>
    </row>
    <row r="8" spans="1:9" x14ac:dyDescent="0.25">
      <c r="A8" s="4">
        <v>43236</v>
      </c>
      <c r="B8" s="25">
        <v>1.75</v>
      </c>
      <c r="C8" s="25"/>
      <c r="D8" s="25"/>
      <c r="E8" s="25"/>
      <c r="F8" s="25">
        <v>1</v>
      </c>
      <c r="G8" s="25">
        <v>3</v>
      </c>
      <c r="H8" s="25"/>
      <c r="I8" s="25">
        <v>5.75</v>
      </c>
    </row>
    <row r="9" spans="1:9" x14ac:dyDescent="0.25">
      <c r="A9" s="4">
        <v>43237</v>
      </c>
      <c r="B9" s="25"/>
      <c r="C9" s="25"/>
      <c r="D9" s="25">
        <v>1.5</v>
      </c>
      <c r="E9" s="25"/>
      <c r="F9" s="25"/>
      <c r="G9" s="25">
        <v>5.5</v>
      </c>
      <c r="H9" s="25"/>
      <c r="I9" s="25">
        <v>7</v>
      </c>
    </row>
    <row r="10" spans="1:9" x14ac:dyDescent="0.25">
      <c r="A10" s="4">
        <v>43238</v>
      </c>
      <c r="B10" s="25"/>
      <c r="C10" s="25"/>
      <c r="D10" s="25">
        <v>0.5</v>
      </c>
      <c r="E10" s="25"/>
      <c r="F10" s="25"/>
      <c r="G10" s="25">
        <v>4.75</v>
      </c>
      <c r="H10" s="25"/>
      <c r="I10" s="25">
        <v>5.25</v>
      </c>
    </row>
    <row r="11" spans="1:9" x14ac:dyDescent="0.25">
      <c r="A11" s="4">
        <v>43243</v>
      </c>
      <c r="B11" s="25">
        <v>0.5</v>
      </c>
      <c r="C11" s="25"/>
      <c r="D11" s="25"/>
      <c r="E11" s="25"/>
      <c r="F11" s="25">
        <v>1.75</v>
      </c>
      <c r="G11" s="25">
        <v>4</v>
      </c>
      <c r="H11" s="25">
        <v>0.75</v>
      </c>
      <c r="I11" s="25">
        <v>7</v>
      </c>
    </row>
    <row r="12" spans="1:9" x14ac:dyDescent="0.25">
      <c r="A12" s="4">
        <v>43242</v>
      </c>
      <c r="B12" s="25">
        <v>3</v>
      </c>
      <c r="C12" s="25"/>
      <c r="D12" s="25"/>
      <c r="E12" s="25"/>
      <c r="F12" s="25"/>
      <c r="G12" s="25">
        <v>0.75</v>
      </c>
      <c r="H12" s="25"/>
      <c r="I12" s="25">
        <v>3.75</v>
      </c>
    </row>
    <row r="13" spans="1:9" x14ac:dyDescent="0.25">
      <c r="A13" s="4">
        <v>43244</v>
      </c>
      <c r="B13" s="25">
        <v>2.25</v>
      </c>
      <c r="C13" s="25"/>
      <c r="D13" s="25"/>
      <c r="E13" s="25"/>
      <c r="F13" s="25"/>
      <c r="G13" s="25">
        <v>4.5</v>
      </c>
      <c r="H13" s="25"/>
      <c r="I13" s="25">
        <v>6.75</v>
      </c>
    </row>
    <row r="14" spans="1:9" x14ac:dyDescent="0.25">
      <c r="A14" s="4">
        <v>43245</v>
      </c>
      <c r="B14" s="25">
        <v>0.5</v>
      </c>
      <c r="C14" s="25">
        <v>3.25</v>
      </c>
      <c r="D14" s="25"/>
      <c r="E14" s="25"/>
      <c r="F14" s="25"/>
      <c r="G14" s="25">
        <v>1.5</v>
      </c>
      <c r="H14" s="25"/>
      <c r="I14" s="25">
        <v>5.25</v>
      </c>
    </row>
    <row r="15" spans="1:9" x14ac:dyDescent="0.25">
      <c r="A15" s="4">
        <v>43249</v>
      </c>
      <c r="B15" s="25"/>
      <c r="C15" s="25">
        <v>3.25</v>
      </c>
      <c r="D15" s="25"/>
      <c r="E15" s="25"/>
      <c r="F15" s="25"/>
      <c r="G15" s="25"/>
      <c r="H15" s="25">
        <v>0.5</v>
      </c>
      <c r="I15" s="25">
        <v>3.75</v>
      </c>
    </row>
    <row r="16" spans="1:9" x14ac:dyDescent="0.25">
      <c r="A16" s="4">
        <v>43250</v>
      </c>
      <c r="B16" s="25">
        <v>0.25</v>
      </c>
      <c r="C16" s="25">
        <v>3.5</v>
      </c>
      <c r="D16" s="25"/>
      <c r="E16" s="25">
        <v>3</v>
      </c>
      <c r="F16" s="25"/>
      <c r="G16" s="25"/>
      <c r="H16" s="25"/>
      <c r="I16" s="25">
        <v>6.75</v>
      </c>
    </row>
    <row r="17" spans="1:9" x14ac:dyDescent="0.25">
      <c r="A17" s="4">
        <v>43252</v>
      </c>
      <c r="B17" s="25"/>
      <c r="C17" s="25">
        <v>3.75</v>
      </c>
      <c r="D17" s="25"/>
      <c r="E17" s="25"/>
      <c r="F17" s="25"/>
      <c r="G17" s="25">
        <v>0.75</v>
      </c>
      <c r="H17" s="25">
        <v>0.75</v>
      </c>
      <c r="I17" s="25">
        <v>5.25</v>
      </c>
    </row>
    <row r="18" spans="1:9" x14ac:dyDescent="0.25">
      <c r="A18" s="4">
        <v>43251</v>
      </c>
      <c r="B18" s="25">
        <v>0.5</v>
      </c>
      <c r="C18" s="25">
        <v>5.25</v>
      </c>
      <c r="D18" s="25"/>
      <c r="E18" s="25"/>
      <c r="F18" s="25">
        <v>0.25</v>
      </c>
      <c r="G18" s="25"/>
      <c r="H18" s="25">
        <v>0.75</v>
      </c>
      <c r="I18" s="25">
        <v>6.75</v>
      </c>
    </row>
    <row r="19" spans="1:9" x14ac:dyDescent="0.25">
      <c r="A19" s="4" t="s">
        <v>11</v>
      </c>
      <c r="B19" s="25">
        <v>12.75</v>
      </c>
      <c r="C19" s="25">
        <v>19</v>
      </c>
      <c r="D19" s="25">
        <v>6</v>
      </c>
      <c r="E19" s="25">
        <v>3</v>
      </c>
      <c r="F19" s="25">
        <v>4.5</v>
      </c>
      <c r="G19" s="25">
        <v>26.75</v>
      </c>
      <c r="H19" s="25">
        <v>5.5</v>
      </c>
      <c r="I19" s="25">
        <v>77.5</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9"/>
  <sheetViews>
    <sheetView workbookViewId="0">
      <selection activeCell="H6" sqref="H6"/>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15</v>
      </c>
    </row>
    <row r="4" spans="1:1" x14ac:dyDescent="0.25">
      <c r="A4" s="1" t="s">
        <v>7</v>
      </c>
    </row>
    <row r="5" spans="1:1" x14ac:dyDescent="0.25">
      <c r="A5" s="1" t="s">
        <v>8</v>
      </c>
    </row>
    <row r="6" spans="1:1" x14ac:dyDescent="0.25">
      <c r="A6" s="1" t="s">
        <v>9</v>
      </c>
    </row>
    <row r="7" spans="1:1" x14ac:dyDescent="0.25">
      <c r="A7" s="1" t="s">
        <v>16</v>
      </c>
    </row>
    <row r="8" spans="1:1" x14ac:dyDescent="0.25">
      <c r="A8" s="1" t="s">
        <v>10</v>
      </c>
    </row>
    <row r="9" spans="1:1" x14ac:dyDescent="0.25">
      <c r="A9" s="1" t="s">
        <v>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2018-06-01T13:00:53Z</dcterms:modified>
</cp:coreProperties>
</file>